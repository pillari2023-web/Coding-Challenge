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illa\Downloads\"/>
    </mc:Choice>
  </mc:AlternateContent>
  <xr:revisionPtr revIDLastSave="0" documentId="8_{584FF4DE-6E07-44C5-8C6E-8C8C1C53D70A}" xr6:coauthVersionLast="47" xr6:coauthVersionMax="47" xr10:uidLastSave="{00000000-0000-0000-0000-000000000000}"/>
  <bookViews>
    <workbookView xWindow="-108" yWindow="-108" windowWidth="23256" windowHeight="12456" activeTab="3" xr2:uid="{F035CE6A-1FD9-43A0-BEFD-D931B283E0FC}"/>
  </bookViews>
  <sheets>
    <sheet name="Pivot Tables" sheetId="3" r:id="rId1"/>
    <sheet name="Visualizations" sheetId="4" r:id="rId2"/>
    <sheet name="Sheet4" sheetId="5" r:id="rId3"/>
    <sheet name="day4 excel" sheetId="1" r:id="rId4"/>
    <sheet name="insights" sheetId="2" r:id="rId5"/>
  </sheets>
  <definedNames>
    <definedName name="_xlnm._FilterDatabase" localSheetId="3" hidden="1">'day4 excel'!$A$1:$P$1</definedName>
    <definedName name="_xlchart.v5.0" hidden="1">Sheet4!$A$1</definedName>
    <definedName name="_xlchart.v5.1" hidden="1">Sheet4!$A$2:$A$12</definedName>
    <definedName name="_xlchart.v5.2" hidden="1">Sheet4!$B$1</definedName>
    <definedName name="_xlchart.v5.3" hidden="1">Sheet4!$B$2:$B$12</definedName>
    <definedName name="_xlchart.v5.4" hidden="1">Sheet4!$A$1</definedName>
    <definedName name="_xlchart.v5.5" hidden="1">Sheet4!$A$2:$A$12</definedName>
    <definedName name="_xlchart.v5.6" hidden="1">Sheet4!$B$1</definedName>
    <definedName name="_xlchart.v5.7" hidden="1">Sheet4!$B$2:$B$12</definedName>
    <definedName name="Slicer_State">#N/A</definedName>
  </definedNames>
  <calcPr calcId="0" refMode="R1C1" iterateCount="0" calcOnSave="0" concurrentCalc="0"/>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 r="S100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alcChain>
</file>

<file path=xl/sharedStrings.xml><?xml version="1.0" encoding="utf-8"?>
<sst xmlns="http://schemas.openxmlformats.org/spreadsheetml/2006/main" count="7116" uniqueCount="2090">
  <si>
    <t>Loan ID</t>
  </si>
  <si>
    <t>Issue Date</t>
  </si>
  <si>
    <t>Borrower ID</t>
  </si>
  <si>
    <t>State</t>
  </si>
  <si>
    <t>Loan Amount</t>
  </si>
  <si>
    <t>Interest Rate</t>
  </si>
  <si>
    <t>Term (Months)</t>
  </si>
  <si>
    <t>Loan Status</t>
  </si>
  <si>
    <t>Loan Grade</t>
  </si>
  <si>
    <t>Loan Intent</t>
  </si>
  <si>
    <t>Annual Income</t>
  </si>
  <si>
    <t>Home Ownership</t>
  </si>
  <si>
    <t>DTI</t>
  </si>
  <si>
    <t>LTV</t>
  </si>
  <si>
    <t>Total Payments Received</t>
  </si>
  <si>
    <t>Recovery Amount</t>
  </si>
  <si>
    <t>L0001</t>
  </si>
  <si>
    <t>B0001</t>
  </si>
  <si>
    <t>OH</t>
  </si>
  <si>
    <t>Fully Paid</t>
  </si>
  <si>
    <t>A</t>
  </si>
  <si>
    <t>small business</t>
  </si>
  <si>
    <t>OWN</t>
  </si>
  <si>
    <t>L0002</t>
  </si>
  <si>
    <t>B0002</t>
  </si>
  <si>
    <t>PA</t>
  </si>
  <si>
    <t>Current</t>
  </si>
  <si>
    <t>D</t>
  </si>
  <si>
    <t>credit card</t>
  </si>
  <si>
    <t>MORTGAGE</t>
  </si>
  <si>
    <t>L0003</t>
  </si>
  <si>
    <t>B0003</t>
  </si>
  <si>
    <t>home improvement</t>
  </si>
  <si>
    <t>RENT</t>
  </si>
  <si>
    <t>L0004</t>
  </si>
  <si>
    <t>B0004</t>
  </si>
  <si>
    <t>F</t>
  </si>
  <si>
    <t>other</t>
  </si>
  <si>
    <t>L0005</t>
  </si>
  <si>
    <t>B0005</t>
  </si>
  <si>
    <t>NY</t>
  </si>
  <si>
    <t>G</t>
  </si>
  <si>
    <t>L0006</t>
  </si>
  <si>
    <t>B0006</t>
  </si>
  <si>
    <t>L0007</t>
  </si>
  <si>
    <t>B0007</t>
  </si>
  <si>
    <t>MI</t>
  </si>
  <si>
    <t>debt consolidation</t>
  </si>
  <si>
    <t>L0008</t>
  </si>
  <si>
    <t>B0008</t>
  </si>
  <si>
    <t>NC</t>
  </si>
  <si>
    <t>L0009</t>
  </si>
  <si>
    <t>B0009</t>
  </si>
  <si>
    <t>GA</t>
  </si>
  <si>
    <t>L0010</t>
  </si>
  <si>
    <t>B0010</t>
  </si>
  <si>
    <t>IL</t>
  </si>
  <si>
    <t>B</t>
  </si>
  <si>
    <t>L0011</t>
  </si>
  <si>
    <t>B0011</t>
  </si>
  <si>
    <t>Late (31-120 days)</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</si>
  <si>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</si>
  <si>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</si>
  <si>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</si>
  <si>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</si>
  <si>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</si>
  <si>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</si>
  <si>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</si>
  <si>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</si>
  <si>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</si>
  <si>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</si>
  <si>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</si>
  <si>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</si>
  <si>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</si>
  <si>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</si>
  <si>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</si>
  <si>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</si>
  <si>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</si>
  <si>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</si>
  <si>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</si>
  <si>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</si>
  <si>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</si>
  <si>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</si>
  <si>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</si>
  <si>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</si>
  <si>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</si>
  <si>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</si>
  <si>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</si>
  <si>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</si>
  <si>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</si>
  <si>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</si>
  <si>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</si>
  <si>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</si>
  <si>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</si>
  <si>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</si>
  <si>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</si>
  <si>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</si>
  <si>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</si>
  <si>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</si>
  <si>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</si>
  <si>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</si>
  <si>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</si>
  <si>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</si>
  <si>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</si>
  <si>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</si>
  <si>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</si>
  <si>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</si>
  <si>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</si>
  <si>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</si>
  <si>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</si>
  <si>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</si>
  <si>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</si>
  <si>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</si>
  <si>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</si>
  <si>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</si>
  <si>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</si>
  <si>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</si>
  <si>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</si>
  <si>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</si>
  <si>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</si>
  <si>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</si>
  <si>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</si>
  <si>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</si>
  <si>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</si>
  <si>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</si>
  <si>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</si>
  <si>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</si>
  <si>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</si>
  <si>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</si>
  <si>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</si>
  <si>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</si>
  <si>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</si>
  <si>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</si>
  <si>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</si>
  <si>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</si>
  <si>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</si>
  <si>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</si>
  <si>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</si>
  <si>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</si>
  <si>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</si>
  <si>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</si>
  <si>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</si>
  <si>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</si>
  <si>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</si>
  <si>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</si>
  <si>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</si>
  <si>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</si>
  <si>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</si>
  <si>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</si>
  <si>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</si>
  <si>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</si>
  <si>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</si>
  <si>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</si>
  <si>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</si>
  <si>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</si>
  <si>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</si>
  <si>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</si>
  <si>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</si>
  <si>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</si>
  <si>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</si>
  <si>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</si>
  <si>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</si>
  <si>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</si>
  <si>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</si>
  <si>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</si>
  <si>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</si>
  <si>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</si>
  <si>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</si>
  <si>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</si>
  <si>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</si>
  <si>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</si>
  <si>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</si>
  <si>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</si>
  <si>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</si>
  <si>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</si>
  <si>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</si>
  <si>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</si>
  <si>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</si>
  <si>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</si>
  <si>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</si>
  <si>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</si>
  <si>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</si>
  <si>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</si>
  <si>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</si>
  <si>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</si>
  <si>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</si>
  <si>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</si>
  <si>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</si>
  <si>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</si>
  <si>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</si>
  <si>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</si>
  <si>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</si>
  <si>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</si>
  <si>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</si>
  <si>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</si>
  <si>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</si>
  <si>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</si>
  <si>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</si>
  <si>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</si>
  <si>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</si>
  <si>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</si>
  <si>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</si>
  <si>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</si>
  <si>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</si>
  <si>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</si>
  <si>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</si>
  <si>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</si>
  <si>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</si>
  <si>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</si>
  <si>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</si>
  <si>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</si>
  <si>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</si>
  <si>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</si>
  <si>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</si>
  <si>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</si>
  <si>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</si>
  <si>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</si>
  <si>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</si>
  <si>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</si>
  <si>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</si>
  <si>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</si>
  <si>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</si>
  <si>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</si>
  <si>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</si>
  <si>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</si>
  <si>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</si>
  <si>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</si>
  <si>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</si>
  <si>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</si>
  <si>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</si>
  <si>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</si>
  <si>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</si>
  <si>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</si>
  <si>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</si>
  <si>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</si>
  <si>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</si>
  <si>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</si>
  <si>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</si>
  <si>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</si>
  <si>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</si>
  <si>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</si>
  <si>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</si>
  <si>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</si>
  <si>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</si>
  <si>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</si>
  <si>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</si>
  <si>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</si>
  <si>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</si>
  <si>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</si>
  <si>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</si>
  <si>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</si>
  <si>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</si>
  <si>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</si>
  <si>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</si>
  <si>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</si>
  <si>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</si>
  <si>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</si>
  <si>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</si>
  <si>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</si>
  <si>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</si>
  <si>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</si>
  <si>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</si>
  <si>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</si>
  <si>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</si>
  <si>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</si>
  <si>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</si>
  <si>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</si>
  <si>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</si>
  <si>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</si>
  <si>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</si>
  <si>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</si>
  <si>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</si>
  <si>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</si>
  <si>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</si>
  <si>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</si>
  <si>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</si>
  <si>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</si>
  <si>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</si>
  <si>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</si>
  <si>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</si>
  <si>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</si>
  <si>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</si>
  <si>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</si>
  <si>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</si>
  <si>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</si>
  <si>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</si>
  <si>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</si>
  <si>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</si>
  <si>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</si>
  <si>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</si>
  <si>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</si>
  <si>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</si>
  <si>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</si>
  <si>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</si>
  <si>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</si>
  <si>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</si>
  <si>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</si>
  <si>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</si>
  <si>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</si>
  <si>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</si>
  <si>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</si>
  <si>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</si>
  <si>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</si>
  <si>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</si>
  <si>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</si>
  <si>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</si>
  <si>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</si>
  <si>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</si>
  <si>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</si>
  <si>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</si>
  <si>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</si>
  <si>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</si>
  <si>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</si>
  <si>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</si>
  <si>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</si>
  <si>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</si>
  <si>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</si>
  <si>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</si>
  <si>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</si>
  <si>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</si>
  <si>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</si>
  <si>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</si>
  <si>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</si>
  <si>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</si>
  <si>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</si>
  <si>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</si>
  <si>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</si>
  <si>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</si>
  <si>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</si>
  <si>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</si>
  <si>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</si>
  <si>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</si>
  <si>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</si>
  <si>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</si>
  <si>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</si>
  <si>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</si>
  <si>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</si>
  <si>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</si>
  <si>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</si>
  <si>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</si>
  <si>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</si>
  <si>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</si>
  <si>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</si>
  <si>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</si>
  <si>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</si>
  <si>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</si>
  <si>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</si>
  <si>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</si>
  <si>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</si>
  <si>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</si>
  <si>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</si>
  <si>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</si>
  <si>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</si>
  <si>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</si>
  <si>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</si>
  <si>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</si>
  <si>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</si>
  <si>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</si>
  <si>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</si>
  <si>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</si>
  <si>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</si>
  <si>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</si>
  <si>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</si>
  <si>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</si>
  <si>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</si>
  <si>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</si>
  <si>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</si>
  <si>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</si>
  <si>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</si>
  <si>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</si>
  <si>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</si>
  <si>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</si>
  <si>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</si>
  <si>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</si>
  <si>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</si>
  <si>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</si>
  <si>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</si>
  <si>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</si>
  <si>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</si>
  <si>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</si>
  <si>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</si>
  <si>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</si>
  <si>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</si>
  <si>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</si>
  <si>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</si>
  <si>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</si>
  <si>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</si>
  <si>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</si>
  <si>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</si>
  <si>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</si>
  <si>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</si>
  <si>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</si>
  <si>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</si>
  <si>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</si>
  <si>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</si>
  <si>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</si>
  <si>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</si>
  <si>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</si>
  <si>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</si>
  <si>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</si>
  <si>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</si>
  <si>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</si>
  <si>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</si>
  <si>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</si>
  <si>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</si>
  <si>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</si>
  <si>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</si>
  <si>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</si>
  <si>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</si>
  <si>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</si>
  <si>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</si>
  <si>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</si>
  <si>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</si>
  <si>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</si>
  <si>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</si>
  <si>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</si>
  <si>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</si>
  <si>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</si>
  <si>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</si>
  <si>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</si>
  <si>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</si>
  <si>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</si>
  <si>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</si>
  <si>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</si>
  <si>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</si>
  <si>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</si>
  <si>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</si>
  <si>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</si>
  <si>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</si>
  <si>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</si>
  <si>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</si>
  <si>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</si>
  <si>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</si>
  <si>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</si>
  <si>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</si>
  <si>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</si>
  <si>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</si>
  <si>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</si>
  <si>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</si>
  <si>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</si>
  <si>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</si>
  <si>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</si>
  <si>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</si>
  <si>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</si>
  <si>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</si>
  <si>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</si>
  <si>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</si>
  <si>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</si>
  <si>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</si>
  <si>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</si>
  <si>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</si>
  <si>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</si>
  <si>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</si>
  <si>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</si>
  <si>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</si>
  <si>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</si>
  <si>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</si>
  <si>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</si>
  <si>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</si>
  <si>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</si>
  <si>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</si>
  <si>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</si>
  <si>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</si>
  <si>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</si>
  <si>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</si>
  <si>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</si>
  <si>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</si>
  <si>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</si>
  <si>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</si>
  <si>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</si>
  <si>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</si>
  <si>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</si>
  <si>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</si>
  <si>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</si>
  <si>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</si>
  <si>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</si>
  <si>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</si>
  <si>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</si>
  <si>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</si>
  <si>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</si>
  <si>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</si>
  <si>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</si>
  <si>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</si>
  <si>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</si>
  <si>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</si>
  <si>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</si>
  <si>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</si>
  <si>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</si>
  <si>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</si>
  <si>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</si>
  <si>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</si>
  <si>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</si>
  <si>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</si>
  <si>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</si>
  <si>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</si>
  <si>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</si>
  <si>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</si>
  <si>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</si>
  <si>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</si>
  <si>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</si>
  <si>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</si>
  <si>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</si>
  <si>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</si>
  <si>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</si>
  <si>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</si>
  <si>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</si>
  <si>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</si>
  <si>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</si>
  <si>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</si>
  <si>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</si>
  <si>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</si>
  <si>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</si>
  <si>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</si>
  <si>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</si>
  <si>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</si>
  <si>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</si>
  <si>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</si>
  <si>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</si>
  <si>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</si>
  <si>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</si>
  <si>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</si>
  <si>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</si>
  <si>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</si>
  <si>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</si>
  <si>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</si>
  <si>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</si>
  <si>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</si>
  <si>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</si>
  <si>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</si>
  <si>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</si>
  <si>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</si>
  <si>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</si>
  <si>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</si>
  <si>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</si>
  <si>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</si>
  <si>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</si>
  <si>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</si>
  <si>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</si>
  <si>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</si>
  <si>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</si>
  <si>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</si>
  <si>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</si>
  <si>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</si>
  <si>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</si>
  <si>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</si>
  <si>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</si>
  <si>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</si>
  <si>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</si>
  <si>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</si>
  <si>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</si>
  <si>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</si>
  <si>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</si>
  <si>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</si>
  <si>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</si>
  <si>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</si>
  <si>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</si>
  <si>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</si>
  <si>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</si>
  <si>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</si>
  <si>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</si>
  <si>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</si>
  <si>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</si>
  <si>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</si>
  <si>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</si>
  <si>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</si>
  <si>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</si>
  <si>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</si>
  <si>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</si>
  <si>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</si>
  <si>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</si>
  <si>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</si>
  <si>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</si>
  <si>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</si>
  <si>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</si>
  <si>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</si>
  <si>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</si>
  <si>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</si>
  <si>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</si>
  <si>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</si>
  <si>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</si>
  <si>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</si>
  <si>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</si>
  <si>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</si>
  <si>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</si>
  <si>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</si>
  <si>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</si>
  <si>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</si>
  <si>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</si>
  <si>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</si>
  <si>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</si>
  <si>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</si>
  <si>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</si>
  <si>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</si>
  <si>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</si>
  <si>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</si>
  <si>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</si>
  <si>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</si>
  <si>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</si>
  <si>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</si>
  <si>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</si>
  <si>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</si>
  <si>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</si>
  <si>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</si>
  <si>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</si>
  <si>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</si>
  <si>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</si>
  <si>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</si>
  <si>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</si>
  <si>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</si>
  <si>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</si>
  <si>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</si>
  <si>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</si>
  <si>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</si>
  <si>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</si>
  <si>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</si>
  <si>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</si>
  <si>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</si>
  <si>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</si>
  <si>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</si>
  <si>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</si>
  <si>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</si>
  <si>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</si>
  <si>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</si>
  <si>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</si>
  <si>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</si>
  <si>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</si>
  <si>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</si>
  <si>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</si>
  <si>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</si>
  <si>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</si>
  <si>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</si>
  <si>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</si>
  <si>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</si>
  <si>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</si>
  <si>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</si>
  <si>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</si>
  <si>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</si>
  <si>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</si>
  <si>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</si>
  <si>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</si>
  <si>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</si>
  <si>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</si>
  <si>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</si>
  <si>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</si>
  <si>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</si>
  <si>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</si>
  <si>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</si>
  <si>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</si>
  <si>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</si>
  <si>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</si>
  <si>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</si>
  <si>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</si>
  <si>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</si>
  <si>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</si>
  <si>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</si>
  <si>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</si>
  <si>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</si>
  <si>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</si>
  <si>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</si>
  <si>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</si>
  <si>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</si>
  <si>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</si>
  <si>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</si>
  <si>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</si>
  <si>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</si>
  <si>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</si>
  <si>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</si>
  <si>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</si>
  <si>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</si>
  <si>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</si>
  <si>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</si>
  <si>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</si>
  <si>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</si>
  <si>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</si>
  <si>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</si>
  <si>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</si>
  <si>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</si>
  <si>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</si>
  <si>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</si>
  <si>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</si>
  <si>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</si>
  <si>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</si>
  <si>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</si>
  <si>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</si>
  <si>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</si>
  <si>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</si>
  <si>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</si>
  <si>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</si>
  <si>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</si>
  <si>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</si>
  <si>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</si>
  <si>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</si>
  <si>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</si>
  <si>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</si>
  <si>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</si>
  <si>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</si>
  <si>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</si>
  <si>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</si>
  <si>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</si>
  <si>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</si>
  <si>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</si>
  <si>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</si>
  <si>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</si>
  <si>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</si>
  <si>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</si>
  <si>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</si>
  <si>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</si>
  <si>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</si>
  <si>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</si>
  <si>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</si>
  <si>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</si>
  <si>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</si>
  <si>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</si>
  <si>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</si>
  <si>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</si>
  <si>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</si>
  <si>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</si>
  <si>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</si>
  <si>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</si>
  <si>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</si>
  <si>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</si>
  <si>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</si>
  <si>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</si>
  <si>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</si>
  <si>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</si>
  <si>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</si>
  <si>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</si>
  <si>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</si>
  <si>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</si>
  <si>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</si>
  <si>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</si>
  <si>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</si>
  <si>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</si>
  <si>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</si>
  <si>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</si>
  <si>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</si>
  <si>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</si>
  <si>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</si>
  <si>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</si>
  <si>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</si>
  <si>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</si>
  <si>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</si>
  <si>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</si>
  <si>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</si>
  <si>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</si>
  <si>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</si>
  <si>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</si>
  <si>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</si>
  <si>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</si>
  <si>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</si>
  <si>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</si>
  <si>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</si>
  <si>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</si>
  <si>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</si>
  <si>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</si>
  <si>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</si>
  <si>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</si>
  <si>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</si>
  <si>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</si>
  <si>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</si>
  <si>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</si>
  <si>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</si>
  <si>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</si>
  <si>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</si>
  <si>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</si>
  <si>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</si>
  <si>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</si>
  <si>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</si>
  <si>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</si>
  <si>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</si>
  <si>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</si>
  <si>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</si>
  <si>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</si>
  <si>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</si>
  <si>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</si>
  <si>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</si>
  <si>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</si>
  <si>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</si>
  <si>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</si>
  <si>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</si>
  <si>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</si>
  <si>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</si>
  <si>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</si>
  <si>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</si>
  <si>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</si>
  <si>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</si>
  <si>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</si>
  <si>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</si>
  <si>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</si>
  <si>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</si>
  <si>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</si>
  <si>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</si>
  <si>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</si>
  <si>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</si>
  <si>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</si>
  <si>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</si>
  <si>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</si>
  <si>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</si>
  <si>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</si>
  <si>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</si>
  <si>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</si>
  <si>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</si>
  <si>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</si>
  <si>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</si>
  <si>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</si>
  <si>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</si>
  <si>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</si>
  <si>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</si>
  <si>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</si>
  <si>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</si>
  <si>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</si>
  <si>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</si>
  <si>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</si>
  <si>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</si>
  <si>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</si>
  <si>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</si>
  <si>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</si>
  <si>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</si>
  <si>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</si>
  <si>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</si>
  <si>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</si>
  <si>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</si>
  <si>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</si>
  <si>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</si>
  <si>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</si>
  <si>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</si>
  <si>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</si>
  <si>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</si>
  <si>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</si>
  <si>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</si>
  <si>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</si>
  <si>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</si>
  <si>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</si>
  <si>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</si>
  <si>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</si>
  <si>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</si>
  <si>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</si>
  <si>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</si>
  <si>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</si>
  <si>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</si>
  <si>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</si>
  <si>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</si>
  <si>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</si>
  <si>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</si>
  <si>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</si>
  <si>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</si>
  <si>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</si>
  <si>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</si>
  <si>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</si>
  <si>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</si>
  <si>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</si>
  <si>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</si>
  <si>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</si>
  <si>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</si>
  <si>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</si>
  <si>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</si>
  <si>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</si>
  <si>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</si>
  <si>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</si>
  <si>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</si>
  <si>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</si>
  <si>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</si>
  <si>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</si>
  <si>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</si>
  <si>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</si>
  <si>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</si>
  <si>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</si>
  <si>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</si>
  <si>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</si>
  <si>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</si>
  <si>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</si>
  <si>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</si>
  <si>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</si>
  <si>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</si>
  <si>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</si>
  <si>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</si>
  <si>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</si>
  <si>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</si>
  <si>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</si>
  <si>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</si>
  <si>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</si>
  <si>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</si>
  <si>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</si>
  <si>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</si>
  <si>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</si>
  <si>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</si>
  <si>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</si>
  <si>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</si>
  <si>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</si>
  <si>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</si>
  <si>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</si>
  <si>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</si>
  <si>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</si>
  <si>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</si>
  <si>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</si>
  <si>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</si>
  <si>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</si>
  <si>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</si>
  <si>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</si>
  <si>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</si>
  <si>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</si>
  <si>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</si>
  <si>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</si>
  <si>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</si>
  <si>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</si>
  <si>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</si>
  <si>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</si>
  <si>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</si>
  <si>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</si>
  <si>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</si>
  <si>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</si>
  <si>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</si>
  <si>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</si>
  <si>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</si>
  <si>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</si>
  <si>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</si>
  <si>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</si>
  <si>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</si>
  <si>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</si>
  <si>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</si>
  <si>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</si>
  <si>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</si>
  <si>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</si>
  <si>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</si>
  <si>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</si>
  <si>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</si>
  <si>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</si>
  <si>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</si>
  <si>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</si>
  <si>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</si>
  <si>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</si>
  <si>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</si>
  <si>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</si>
  <si>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</si>
  <si>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</si>
  <si>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</si>
  <si>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</si>
  <si>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</si>
  <si>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</si>
  <si>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</si>
  <si>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</si>
  <si>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</si>
  <si>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</si>
  <si>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</si>
  <si>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</si>
  <si>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</si>
  <si>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</si>
  <si>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</si>
  <si>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</si>
  <si>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</si>
  <si>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</si>
  <si>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</si>
  <si>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</si>
  <si>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</si>
  <si>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</si>
  <si>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</si>
  <si>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</si>
  <si>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</si>
  <si>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</si>
  <si>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</si>
  <si>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</si>
  <si>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</si>
  <si>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</si>
  <si>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</si>
  <si>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</si>
  <si>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</si>
  <si>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</si>
  <si>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</si>
  <si>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</si>
  <si>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</si>
  <si>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</si>
  <si>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</si>
  <si>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</si>
  <si>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</si>
  <si>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</si>
  <si>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</si>
  <si>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</si>
  <si>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</si>
  <si>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</si>
  <si>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</si>
  <si>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</si>
  <si>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</si>
  <si>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</si>
  <si>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</si>
  <si>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</si>
  <si>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</si>
  <si>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</si>
  <si>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</si>
  <si>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</si>
  <si>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</si>
  <si>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</si>
  <si>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</si>
  <si>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</si>
  <si>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</si>
  <si>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</si>
  <si>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</si>
  <si>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</si>
  <si>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</si>
  <si>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</si>
  <si>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</si>
  <si>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</si>
  <si>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</si>
  <si>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</si>
  <si>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</si>
  <si>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</si>
  <si>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</si>
  <si>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</si>
  <si>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</si>
  <si>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</si>
  <si>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</si>
  <si>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</si>
  <si>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</si>
  <si>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</si>
  <si>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</si>
  <si>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</si>
  <si>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</si>
  <si>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</si>
  <si>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</si>
  <si>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</si>
  <si>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</si>
  <si>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</si>
  <si>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</si>
  <si>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</si>
  <si>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</si>
  <si>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</si>
  <si>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</si>
  <si>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</si>
  <si>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</si>
  <si>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</si>
  <si>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</si>
  <si>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</si>
  <si>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</si>
  <si>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</si>
  <si>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</si>
  <si>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</si>
  <si>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</si>
  <si>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</si>
  <si>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</si>
  <si>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</si>
  <si>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</si>
  <si>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</si>
  <si>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</si>
  <si>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</si>
  <si>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</si>
  <si>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</si>
  <si>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</si>
  <si>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</si>
  <si>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</si>
  <si>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</si>
  <si>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</si>
  <si>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</si>
  <si>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</si>
  <si>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</si>
  <si>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</si>
  <si>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</si>
  <si>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</si>
  <si>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</si>
  <si>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</si>
  <si>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</si>
  <si>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</si>
  <si>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</si>
  <si>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</si>
  <si>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</si>
  <si>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</si>
  <si>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</si>
  <si>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</si>
  <si>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</si>
  <si>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</si>
  <si>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</si>
  <si>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</si>
  <si>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</si>
  <si>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</si>
  <si>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</si>
  <si>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</si>
  <si>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</si>
  <si>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</si>
  <si>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</si>
  <si>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</si>
  <si>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</si>
  <si>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</si>
  <si>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</si>
  <si>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</si>
  <si>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</si>
  <si>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</si>
  <si>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</si>
  <si>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</si>
  <si>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</si>
  <si>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</si>
  <si>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</si>
  <si>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</si>
  <si>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</si>
  <si>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</si>
  <si>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</si>
  <si>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</si>
  <si>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</si>
  <si>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</si>
  <si>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</si>
  <si>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</si>
  <si>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</si>
  <si>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</si>
  <si>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</si>
  <si>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</si>
  <si>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</si>
  <si>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</si>
  <si>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</si>
  <si>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</si>
  <si>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</si>
  <si>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</si>
  <si>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</si>
  <si>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</si>
  <si>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</si>
  <si>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</si>
  <si>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</si>
  <si>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</si>
  <si>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</si>
  <si>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</si>
  <si>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</si>
  <si>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</si>
  <si>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</si>
  <si>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</si>
  <si>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</si>
  <si>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</si>
  <si>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</si>
  <si>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</si>
  <si>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</si>
  <si>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</si>
  <si>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</si>
  <si>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</si>
  <si>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</si>
  <si>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</si>
  <si>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</si>
  <si>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</si>
  <si>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</si>
  <si>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</si>
  <si>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</si>
  <si>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</si>
  <si>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</si>
  <si>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</si>
  <si>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</si>
  <si>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</si>
  <si>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</si>
  <si>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</si>
  <si>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</si>
  <si>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</si>
  <si>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</si>
  <si>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</si>
  <si>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</si>
  <si>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</si>
  <si>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</si>
  <si>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</si>
  <si>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</si>
  <si>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</si>
  <si>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</si>
  <si>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</si>
  <si>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</si>
  <si>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</si>
  <si>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</si>
  <si>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</si>
  <si>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</si>
  <si>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</si>
  <si>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</si>
  <si>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</si>
  <si>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</si>
  <si>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</si>
  <si>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</si>
  <si>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</si>
  <si>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</si>
  <si>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</si>
  <si>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</si>
  <si>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</si>
  <si>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</si>
  <si>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</si>
  <si>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</si>
  <si>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</si>
  <si>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</si>
  <si>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</si>
  <si>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</si>
  <si>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</si>
  <si>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</si>
  <si>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</si>
  <si>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</si>
  <si>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</si>
  <si>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</si>
  <si>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</si>
  <si>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</si>
  <si>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</si>
  <si>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</si>
  <si>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</si>
  <si>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</si>
  <si>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</si>
  <si>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</si>
  <si>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</si>
  <si>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</si>
  <si>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</si>
  <si>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</si>
  <si>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</si>
  <si>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</si>
  <si>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</si>
  <si>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</si>
  <si>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</si>
  <si>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</si>
  <si>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</si>
  <si>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</si>
  <si>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</si>
  <si>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</si>
  <si>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</si>
  <si>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</si>
  <si>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</si>
  <si>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</si>
  <si>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</si>
  <si>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</si>
  <si>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</si>
  <si>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</si>
  <si>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</si>
  <si>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</si>
  <si>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</si>
  <si>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</si>
  <si>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</si>
  <si>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</si>
  <si>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</si>
  <si>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</si>
  <si>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</si>
  <si>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</si>
  <si>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</si>
  <si>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</si>
  <si>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</si>
  <si>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</si>
  <si>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</si>
  <si>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</si>
  <si>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</si>
  <si>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</si>
  <si>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</si>
  <si>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</si>
  <si>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</si>
  <si>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</si>
  <si>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</si>
  <si>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</si>
  <si>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</si>
  <si>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</si>
  <si>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</si>
  <si>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</si>
  <si>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</si>
  <si>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</si>
  <si>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</si>
  <si>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</si>
  <si>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</si>
  <si>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</si>
  <si>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</si>
  <si>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</si>
  <si>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</si>
  <si>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</si>
  <si>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</si>
  <si>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</si>
  <si>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</si>
  <si>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</si>
  <si>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</si>
  <si>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</si>
  <si>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</si>
  <si>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</si>
  <si>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</si>
  <si>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</si>
  <si>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</si>
  <si>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</si>
  <si>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</si>
  <si>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</si>
  <si>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</si>
  <si>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</si>
  <si>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</si>
  <si>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</si>
  <si>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</si>
  <si>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</si>
  <si>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</si>
  <si>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</si>
  <si>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</si>
  <si>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</si>
  <si>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</si>
  <si>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</si>
  <si>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</si>
  <si>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</si>
  <si>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</si>
  <si>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</si>
  <si>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</si>
  <si>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</si>
  <si>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</si>
  <si>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</si>
  <si>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</si>
  <si>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</si>
  <si>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</si>
  <si>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</si>
  <si>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</si>
  <si>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</si>
  <si>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</si>
  <si>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</si>
  <si>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</si>
  <si>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</si>
  <si>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</si>
  <si>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</si>
  <si>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</si>
  <si>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</si>
  <si>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</si>
  <si>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</si>
  <si>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</si>
  <si>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</si>
  <si>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</si>
  <si>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</si>
  <si>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</si>
  <si>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</si>
  <si>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</si>
  <si>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</si>
  <si>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</si>
  <si>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</si>
  <si>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</si>
  <si>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</si>
  <si>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</si>
  <si>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</si>
  <si>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</si>
  <si>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</si>
  <si>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</si>
  <si>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</si>
  <si>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</si>
  <si>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</si>
  <si>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</si>
  <si>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</si>
  <si>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</si>
  <si>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</si>
  <si>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</si>
  <si>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</si>
  <si>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</si>
  <si>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</si>
  <si>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</si>
  <si>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</si>
  <si>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</si>
  <si>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</si>
  <si>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</si>
  <si>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</si>
  <si>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</si>
  <si>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</si>
  <si>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</si>
  <si>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</si>
  <si>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</si>
  <si>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</si>
  <si>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</si>
  <si>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</si>
  <si>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</si>
  <si>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</si>
  <si>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</si>
  <si>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</si>
  <si>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</si>
  <si>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</si>
  <si>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</si>
  <si>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</si>
  <si>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</si>
  <si>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</si>
  <si>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</si>
  <si>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</si>
  <si>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</si>
  <si>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</si>
  <si>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</si>
  <si>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</si>
  <si>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</si>
  <si>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</si>
  <si>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</si>
  <si>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</si>
  <si>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</si>
  <si>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</si>
  <si>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</si>
  <si>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</si>
  <si>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</si>
  <si>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</si>
  <si>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</si>
  <si>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</si>
  <si>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</si>
  <si>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</si>
  <si>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</si>
  <si>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</si>
  <si>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</si>
  <si>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</si>
  <si>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</si>
  <si>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</si>
  <si>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</si>
  <si>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</si>
  <si>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</si>
  <si>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</si>
  <si>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</si>
  <si>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</si>
  <si>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</si>
  <si>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</si>
  <si>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</si>
  <si>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</si>
  <si>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</si>
  <si>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</si>
  <si>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</si>
  <si>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</si>
  <si>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</si>
  <si>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</si>
  <si>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</si>
  <si>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</si>
  <si>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</si>
  <si>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</si>
  <si>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</si>
  <si>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</si>
  <si>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</si>
  <si>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</si>
  <si>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</si>
  <si>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</si>
  <si>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</si>
  <si>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</si>
  <si>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</si>
  <si>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</si>
  <si>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</si>
  <si>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</si>
  <si>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</si>
  <si>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</si>
  <si>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</si>
  <si>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</si>
  <si>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</si>
  <si>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</si>
  <si>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</si>
  <si>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</si>
  <si>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</si>
  <si>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</si>
  <si>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</si>
  <si>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</si>
  <si>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</si>
  <si>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</si>
  <si>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</si>
  <si>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</si>
  <si>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</si>
  <si>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</si>
  <si>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</si>
  <si>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</si>
  <si>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</si>
  <si>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</si>
  <si>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</si>
  <si>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</si>
  <si>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</si>
  <si>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</si>
  <si>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</si>
  <si>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</si>
  <si>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</si>
  <si>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</si>
  <si>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</si>
  <si>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</si>
  <si>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</si>
  <si>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</si>
  <si>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</si>
  <si>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</si>
  <si>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</si>
  <si>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</si>
  <si>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</si>
  <si>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</si>
  <si>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</si>
  <si>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</si>
  <si>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</si>
  <si>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</si>
  <si>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</si>
  <si>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</si>
  <si>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</si>
  <si>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</si>
  <si>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</si>
  <si>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</si>
  <si>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</si>
  <si>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</si>
  <si>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</si>
  <si>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</si>
  <si>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</si>
  <si>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</si>
  <si>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</si>
  <si>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</si>
  <si>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</si>
  <si>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</si>
  <si>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</si>
  <si>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</si>
  <si>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</si>
  <si>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</si>
  <si>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</si>
  <si>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</si>
  <si>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</si>
  <si>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</si>
  <si>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</si>
  <si>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</si>
  <si>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</si>
  <si>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</si>
  <si>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</si>
  <si>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</si>
  <si>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</si>
  <si>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</si>
  <si>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</si>
  <si>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</si>
  <si>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</si>
  <si>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</si>
  <si>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</si>
  <si>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</si>
  <si>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</si>
  <si>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</si>
  <si>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</si>
  <si>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</si>
  <si>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</si>
  <si>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</si>
  <si>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</si>
  <si>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</si>
  <si>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</si>
  <si>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</si>
  <si>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</si>
  <si>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</si>
  <si>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</si>
  <si>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</si>
  <si>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</si>
  <si>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</si>
  <si>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</si>
  <si>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</si>
  <si>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</si>
  <si>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</si>
  <si>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</si>
  <si>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</si>
  <si>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</si>
  <si>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</si>
  <si>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</si>
  <si>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</si>
  <si>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</si>
  <si>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</si>
  <si>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</si>
  <si>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</si>
  <si>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</si>
  <si>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</si>
  <si>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</si>
  <si>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</si>
  <si>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</si>
  <si>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</si>
  <si>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</si>
  <si>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</si>
  <si>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</si>
  <si>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</si>
  <si>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</si>
  <si>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</si>
  <si>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</si>
  <si>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</si>
  <si>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</si>
  <si>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</si>
  <si>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</si>
  <si>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</si>
  <si>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</si>
  <si>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</si>
  <si>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</si>
  <si>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</si>
  <si>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</si>
  <si>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</si>
  <si>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</si>
  <si>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</si>
  <si>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</si>
  <si>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</si>
  <si>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</si>
  <si>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</si>
  <si>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</si>
  <si>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</si>
  <si>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</si>
  <si>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</si>
  <si>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</si>
  <si>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</si>
  <si>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</si>
  <si>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</si>
  <si>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</si>
  <si>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</si>
  <si>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</si>
  <si>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</si>
  <si>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</si>
  <si>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</si>
  <si>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</si>
  <si>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</si>
  <si>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</si>
  <si>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</si>
  <si>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</si>
  <si>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</si>
  <si>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</si>
  <si>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</si>
  <si>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</si>
  <si>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</si>
  <si>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</si>
  <si>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</si>
  <si>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</si>
  <si>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</si>
  <si>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</si>
  <si>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</si>
  <si>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</si>
  <si>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</si>
  <si>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</si>
  <si>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</si>
  <si>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</si>
  <si>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</si>
  <si>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</si>
  <si>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</si>
  <si>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</si>
  <si>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</si>
  <si>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</si>
  <si>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</si>
  <si>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</si>
  <si>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</si>
  <si>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</si>
  <si>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</si>
  <si>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</si>
  <si>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</si>
  <si>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</si>
  <si>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</si>
  <si>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</si>
  <si>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</si>
  <si>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</si>
  <si>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</si>
  <si>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</si>
  <si>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</si>
  <si>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</si>
  <si>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</si>
  <si>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</si>
  <si>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</si>
  <si>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</si>
  <si>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</si>
  <si>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</si>
  <si>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</si>
  <si>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</si>
  <si>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</si>
  <si>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</si>
  <si>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</si>
  <si>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</si>
  <si>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</si>
  <si>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</si>
  <si>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</si>
  <si>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</si>
  <si>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</si>
  <si>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</si>
  <si>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</si>
  <si>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</si>
  <si>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</si>
  <si>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</si>
  <si>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</si>
  <si>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</si>
  <si>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</si>
  <si>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</si>
  <si>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</si>
  <si>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</si>
  <si>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</si>
  <si>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</si>
  <si>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</si>
  <si>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</si>
  <si>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</si>
  <si>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</si>
  <si>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</si>
  <si>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</si>
  <si>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</si>
  <si>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</si>
  <si>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</si>
  <si>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</si>
  <si>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</si>
  <si>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</si>
  <si>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</si>
  <si>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</si>
  <si>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</si>
  <si>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</si>
  <si>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</si>
  <si>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</si>
  <si>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</si>
  <si>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</si>
  <si>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</si>
  <si>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</si>
  <si>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</si>
  <si>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</si>
  <si>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</si>
  <si>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</si>
  <si>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</si>
  <si>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</si>
  <si>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</si>
  <si>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</si>
  <si>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</si>
  <si>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</si>
  <si>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</si>
  <si>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</si>
  <si>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</si>
  <si>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</si>
  <si>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</si>
  <si>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</si>
  <si>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</si>
  <si>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</si>
  <si>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</si>
  <si>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</si>
  <si>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</si>
  <si>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</si>
  <si>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</si>
  <si>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</si>
  <si>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</si>
  <si>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</si>
  <si>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</si>
  <si>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</si>
  <si>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</si>
  <si>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</si>
  <si>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</si>
  <si>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</si>
  <si>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</si>
  <si>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</si>
  <si>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</si>
  <si>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</si>
  <si>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</si>
  <si>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</si>
  <si>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</si>
  <si>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</si>
  <si>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</si>
  <si>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</si>
  <si>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</si>
  <si>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</si>
  <si>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</si>
  <si>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</si>
  <si>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</si>
  <si>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</si>
  <si>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</si>
  <si>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</si>
  <si>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</si>
  <si>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</si>
  <si>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</si>
  <si>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</si>
  <si>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</si>
  <si>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</si>
  <si>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</si>
  <si>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</si>
  <si>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</si>
  <si>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</si>
  <si>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</si>
  <si>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</si>
  <si>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</si>
  <si>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</si>
  <si>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</si>
  <si>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</si>
  <si>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</si>
  <si>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</si>
  <si>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</si>
  <si>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</si>
  <si>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</si>
  <si>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</si>
  <si>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</si>
  <si>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</si>
  <si>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</si>
  <si>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</si>
  <si>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</si>
  <si>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</si>
  <si>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</si>
  <si>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</si>
  <si>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</si>
  <si>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</si>
  <si>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</si>
  <si>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</si>
  <si>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</si>
  <si>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</si>
  <si>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</si>
  <si>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</si>
  <si>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</si>
  <si>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</si>
  <si>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</si>
  <si>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</si>
  <si>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</si>
  <si>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</si>
  <si>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</si>
  <si>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</si>
  <si>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</si>
  <si>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</si>
  <si>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</si>
  <si>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</si>
  <si>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</si>
  <si>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</si>
  <si>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</si>
  <si>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</si>
  <si>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</si>
  <si>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</si>
  <si>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</si>
  <si>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</si>
  <si>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</si>
  <si>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</si>
  <si>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</si>
  <si>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</si>
  <si>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</si>
  <si>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</si>
  <si>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</si>
  <si>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</si>
  <si>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</si>
  <si>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</si>
  <si>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</si>
  <si>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</si>
  <si>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</si>
  <si>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</si>
  <si>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</si>
  <si>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</si>
  <si>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</si>
  <si>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</si>
  <si>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</si>
  <si>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</si>
  <si>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</si>
  <si>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</si>
  <si>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</si>
  <si>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</si>
  <si>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</si>
  <si>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</si>
  <si>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</si>
  <si>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</si>
  <si>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</si>
  <si>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</si>
  <si>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</si>
  <si>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</si>
  <si>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</si>
  <si>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</si>
  <si>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</si>
  <si>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</si>
  <si>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</si>
  <si>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</si>
  <si>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</si>
  <si>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</si>
  <si>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</si>
  <si>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</si>
  <si>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</si>
  <si>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</si>
  <si>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</si>
  <si>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</si>
  <si>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</si>
  <si>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</si>
  <si>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</si>
  <si>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</si>
  <si>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</si>
  <si>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</si>
  <si>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</si>
  <si>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</si>
  <si>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</si>
  <si>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</si>
  <si>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</si>
  <si>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</si>
  <si>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</si>
  <si>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</si>
  <si>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</si>
  <si>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</si>
  <si>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</si>
  <si>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</si>
  <si>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</si>
  <si>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</si>
  <si>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</si>
  <si>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</si>
  <si>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</si>
  <si>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</si>
  <si>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</si>
  <si>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</si>
  <si>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</si>
  <si>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</si>
  <si>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</si>
  <si>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</si>
  <si>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</si>
  <si>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</si>
  <si>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</si>
  <si>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</si>
  <si>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</si>
  <si>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</si>
  <si>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</si>
  <si>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</si>
  <si>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</si>
  <si>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</si>
  <si>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</si>
  <si>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</si>
  <si>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</si>
  <si>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</si>
  <si>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</si>
  <si>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</si>
  <si>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</si>
  <si>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</si>
  <si>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</si>
  <si>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</si>
  <si>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</si>
  <si>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</si>
  <si>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</si>
  <si>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</si>
  <si>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</si>
  <si>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</si>
  <si>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</si>
  <si>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</si>
  <si>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</si>
  <si>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</si>
  <si>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</si>
  <si>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</si>
  <si>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</si>
  <si>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</si>
  <si>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</si>
  <si>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</si>
  <si>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</si>
  <si>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</si>
  <si>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</si>
  <si>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</si>
  <si>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</si>
  <si>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</si>
  <si>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</si>
  <si>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</si>
  <si>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</si>
  <si>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</si>
  <si>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</si>
  <si>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</si>
  <si>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</si>
  <si>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</si>
  <si>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</si>
  <si>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</si>
  <si>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</si>
  <si>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</si>
  <si>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</si>
  <si>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</si>
  <si>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</si>
  <si>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</si>
  <si>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</si>
  <si>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</si>
  <si>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</si>
  <si>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</si>
  <si>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</si>
  <si>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</si>
  <si>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</si>
  <si>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</si>
  <si>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</si>
  <si>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</si>
  <si>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</si>
  <si>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</si>
  <si>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</si>
  <si>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</si>
  <si>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</si>
  <si>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</si>
  <si>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</si>
  <si>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</si>
  <si>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</si>
  <si>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</si>
  <si>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</si>
  <si>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</si>
  <si>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</si>
  <si>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</si>
  <si>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</si>
  <si>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</si>
  <si>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</si>
  <si>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</si>
  <si>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</si>
  <si>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</si>
  <si>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</si>
  <si>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</si>
  <si>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</si>
  <si>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</si>
  <si>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</si>
  <si>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</si>
  <si>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</si>
  <si>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</si>
  <si>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</si>
  <si>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</si>
  <si>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</si>
  <si>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</si>
  <si>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</si>
  <si>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</si>
  <si>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</si>
  <si>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</si>
  <si>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</si>
  <si>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</si>
  <si>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</si>
  <si>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</si>
  <si>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</si>
  <si>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</si>
  <si>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</si>
  <si>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</si>
  <si>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</si>
  <si>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</si>
  <si>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</si>
  <si>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</si>
  <si>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</si>
  <si>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</si>
  <si>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</si>
  <si>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</si>
  <si>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</si>
  <si>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</si>
  <si>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</si>
  <si>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</si>
  <si>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</si>
  <si>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</si>
  <si>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</si>
  <si>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</si>
  <si>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</si>
  <si>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</si>
  <si>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</si>
  <si>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</si>
  <si>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</si>
  <si>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</si>
  <si>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</si>
  <si>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</si>
  <si>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</si>
  <si>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</si>
  <si>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</si>
  <si>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</si>
  <si>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</si>
  <si>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</si>
  <si>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</si>
  <si>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</si>
  <si>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</si>
  <si>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</si>
  <si>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</si>
  <si>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</si>
  <si>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</si>
  <si>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</si>
  <si>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</si>
  <si>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</si>
  <si>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</si>
  <si>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</si>
  <si>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</si>
  <si>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</si>
  <si>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</si>
  <si>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</si>
  <si>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</si>
  <si>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</si>
  <si>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</si>
  <si>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</si>
  <si>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</si>
  <si>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</si>
  <si>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</si>
  <si>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</si>
  <si>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</si>
  <si>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</si>
  <si>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</si>
  <si>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</si>
  <si>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</si>
  <si>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</si>
  <si>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</si>
  <si>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</si>
  <si>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</si>
  <si>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</si>
  <si>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</si>
  <si>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</si>
  <si>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</si>
  <si>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</si>
  <si>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</si>
  <si>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</si>
  <si>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</si>
  <si>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</si>
  <si>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</si>
  <si>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</si>
  <si>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</si>
  <si>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</si>
  <si>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</si>
  <si>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</si>
  <si>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</si>
  <si>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</si>
  <si>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</si>
  <si>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</si>
  <si>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</si>
  <si>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</si>
  <si>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</si>
  <si>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</si>
  <si>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</si>
  <si>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</si>
  <si>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Data Cleaning</t>
  </si>
  <si>
    <t>The data was formatted amount was set to two decimals</t>
  </si>
  <si>
    <t>There were no duplicates found and no null values found</t>
  </si>
  <si>
    <t>The text columns all had same format</t>
  </si>
  <si>
    <t xml:space="preserve">Asset value </t>
  </si>
  <si>
    <t>Profit/Loss</t>
  </si>
  <si>
    <t>Month on book</t>
  </si>
  <si>
    <t>LTV was already calculated hence calculated asset value which is loan amount/LTV</t>
  </si>
  <si>
    <t>Profit or loss was calculated which is( loan amount+ recovered)- Total paid</t>
  </si>
  <si>
    <t>Months on book was calculated by using datedif formula between todays date and issue date</t>
  </si>
  <si>
    <t>Grand Total</t>
  </si>
  <si>
    <r>
      <t>Total Loans:</t>
    </r>
    <r>
      <rPr>
        <sz val="11"/>
        <color theme="1"/>
        <rFont val="Aptos Narrow"/>
        <family val="2"/>
        <scheme val="minor"/>
      </rPr>
      <t xml:space="preserve"> 1000</t>
    </r>
  </si>
  <si>
    <r>
      <t>Total Funded Amount:</t>
    </r>
    <r>
      <rPr>
        <sz val="11"/>
        <color theme="1"/>
        <rFont val="Aptos Narrow"/>
        <family val="2"/>
        <scheme val="minor"/>
      </rPr>
      <t xml:space="preserve"> ₹2.12 Cr (21,255,544)</t>
    </r>
  </si>
  <si>
    <t>1. Majority of loans are performing well</t>
  </si>
  <si>
    <t>Fully Paid:</t>
  </si>
  <si>
    <t>Count → 541 loans (54%)</t>
  </si>
  <si>
    <t>Amount → ₹1.17 Cr</t>
  </si>
  <si>
    <t>3. Risky segment (Charged Off)</t>
  </si>
  <si>
    <t>Charged Off:</t>
  </si>
  <si>
    <t>Count → 105</t>
  </si>
  <si>
    <t>Amount → ₹21.1 Lakhs</t>
  </si>
  <si>
    <t>Loan Grade Analysis</t>
  </si>
  <si>
    <t>Loan Intent Analysis</t>
  </si>
  <si>
    <t>No.of Loans</t>
  </si>
  <si>
    <t>Total Funded Amount</t>
  </si>
  <si>
    <t>Loan Status Analysis</t>
  </si>
  <si>
    <t>Months (Issue Date)</t>
  </si>
  <si>
    <t>Jan</t>
  </si>
  <si>
    <t>Feb</t>
  </si>
  <si>
    <t>Mar</t>
  </si>
  <si>
    <t>Apr</t>
  </si>
  <si>
    <t>May</t>
  </si>
  <si>
    <t>Jun</t>
  </si>
  <si>
    <t>Jul</t>
  </si>
  <si>
    <t>Aug</t>
  </si>
  <si>
    <t>Sep</t>
  </si>
  <si>
    <t>Oct</t>
  </si>
  <si>
    <t>Nov</t>
  </si>
  <si>
    <t>Dec</t>
  </si>
  <si>
    <t>Month Trend</t>
  </si>
  <si>
    <t>Loan issuance peaked during certain months, indicating seasonal lending patterns.”</t>
  </si>
  <si>
    <t>State wise trend</t>
  </si>
  <si>
    <t>Average interest rate</t>
  </si>
  <si>
    <t>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</si>
</sst>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2" fontId="0" fillId="0" borderId="0" xfId="0" applyNumberFormat="1"/>
    <xf numFmtId="49" fontId="0" fillId="0" borderId="0" xfId="0" applyNumberFormat="1"/>
    <xf numFmtId="1" fontId="0" fillId="0" borderId="0" xfId="0" applyNumberFormat="1"/>
    <xf numFmtId="0" fontId="0" fillId="0" borderId="0" xfId="0" pivotButton="1"/>
    <xf numFmtId="0" fontId="0" fillId="0" borderId="0" xfId="0" applyNumberFormat="1"/>
    <xf numFmtId="0" fontId="16" fillId="0" borderId="0" xfId="0" applyFont="1"/>
    <xf numFmtId="0" fontId="16" fillId="0" borderId="0" xfId="0" applyFont="1" applyAlignment="1">
      <alignment horizontal="left" vertical="center" indent="1"/>
    </xf>
    <xf numFmtId="0" fontId="0" fillId="0" borderId="0" xfId="0" applyAlignment="1">
      <alignment horizontal="left" vertical="center" indent="1"/>
    </xf>
    <xf numFmtId="0" fontId="18" fillId="0" borderId="0" xfId="0" applyFont="1" applyAlignment="1">
      <alignment vertical="center"/>
    </xf>
    <xf numFmtId="0" fontId="0" fillId="0" borderId="0" xfId="0" applyAlignment="1">
      <alignment horizontal="left" vertical="center" indent="2"/>
    </xf>
    <xf numFmtId="0" fontId="0" fillId="0" borderId="0" xfId="0" applyNumberFormat="1" applyAlignment="1">
      <alignment horizontal="center"/>
    </xf>
    <xf numFmtId="0" fontId="16" fillId="0" borderId="10" xfId="0" applyFont="1" applyBorder="1"/>
    <xf numFmtId="0" fontId="0" fillId="0" borderId="10" xfId="0" applyBorder="1"/>
    <xf numFmtId="0" fontId="0" fillId="0" borderId="10" xfId="0" pivotButton="1" applyBorder="1"/>
    <xf numFmtId="2" fontId="0" fillId="0" borderId="10" xfId="0" applyNumberFormat="1" applyBorder="1"/>
    <xf numFmtId="0" fontId="0" fillId="0" borderId="10" xfId="0" applyNumberFormat="1" applyBorder="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excel.xlsx]Pivot Tables!PivotTable2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Tables'!$F$4</c:f>
              <c:strCache>
                <c:ptCount val="1"/>
                <c:pt idx="0">
                  <c:v>Total Funded 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'Pivot Tables'!$E$5:$E$12</c:f>
              <c:strCache>
                <c:ptCount val="7"/>
                <c:pt idx="0">
                  <c:v>A</c:v>
                </c:pt>
                <c:pt idx="1">
                  <c:v>B</c:v>
                </c:pt>
                <c:pt idx="2">
                  <c:v>C</c:v>
                </c:pt>
                <c:pt idx="3">
                  <c:v>D</c:v>
                </c:pt>
                <c:pt idx="4">
                  <c:v>E</c:v>
                </c:pt>
                <c:pt idx="5">
                  <c:v>F</c:v>
                </c:pt>
                <c:pt idx="6">
                  <c:v>G</c:v>
                </c:pt>
              </c:strCache>
            </c:strRef>
          </c:cat>
          <c:val>
            <c:numRef>
              <c:f>'Pivot Tables'!$F$5:$F$12</c:f>
              <c:numCache>
                <c:formatCode>0.00</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0-A0E0-4205-978E-0BE97C0B6DF9}"/>
            </c:ext>
          </c:extLst>
        </c:ser>
        <c:ser>
          <c:idx val="1"/>
          <c:order val="1"/>
          <c:tx>
            <c:strRef>
              <c:f>'Pivot Tables'!$G$4</c:f>
              <c:strCache>
                <c:ptCount val="1"/>
                <c:pt idx="0">
                  <c:v>No.of Loans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'Pivot Tables'!$E$5:$E$12</c:f>
              <c:strCache>
                <c:ptCount val="7"/>
                <c:pt idx="0">
                  <c:v>A</c:v>
                </c:pt>
                <c:pt idx="1">
                  <c:v>B</c:v>
                </c:pt>
                <c:pt idx="2">
                  <c:v>C</c:v>
                </c:pt>
                <c:pt idx="3">
                  <c:v>D</c:v>
                </c:pt>
                <c:pt idx="4">
                  <c:v>E</c:v>
                </c:pt>
                <c:pt idx="5">
                  <c:v>F</c:v>
                </c:pt>
                <c:pt idx="6">
                  <c:v>G</c:v>
                </c:pt>
              </c:strCache>
            </c:strRef>
          </c:cat>
          <c:val>
            <c:numRef>
              <c:f>'Pivot Tables'!$G$5:$G$12</c:f>
              <c:numCache>
                <c:formatCode>General</c:formatCode>
                <c:ptCount val="7"/>
                <c:pt idx="0">
                  <c:v>250</c:v>
                </c:pt>
                <c:pt idx="1">
                  <c:v>206</c:v>
                </c:pt>
                <c:pt idx="2">
                  <c:v>154</c:v>
                </c:pt>
                <c:pt idx="3">
                  <c:v>159</c:v>
                </c:pt>
                <c:pt idx="4">
                  <c:v>106</c:v>
                </c:pt>
                <c:pt idx="5">
                  <c:v>81</c:v>
                </c:pt>
                <c:pt idx="6">
                  <c:v>44</c:v>
                </c:pt>
              </c:numCache>
            </c:numRef>
          </c:val>
          <c:extLst>
            <c:ext xmlns:c16="http://schemas.microsoft.com/office/drawing/2014/chart" uri="{C3380CC4-5D6E-409C-BE32-E72D297353CC}">
              <c16:uniqueId val="{00000001-A0E0-4205-978E-0BE97C0B6D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excel.xlsx]Pivot Tables!PivotTable1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c:f>
              <c:strCache>
                <c:ptCount val="1"/>
                <c:pt idx="0">
                  <c:v>Total</c:v>
                </c:pt>
              </c:strCache>
            </c:strRef>
          </c:tx>
          <c:spPr>
            <a:solidFill>
              <a:schemeClr val="accent1"/>
            </a:solidFill>
            <a:ln>
              <a:noFill/>
            </a:ln>
            <a:effectLst/>
          </c:spPr>
          <c:invertIfNegative val="0"/>
          <c:cat>
            <c:strRef>
              <c:f>'Pivot Tables'!$A$5:$A$10</c:f>
              <c:strCache>
                <c:ptCount val="5"/>
                <c:pt idx="0">
                  <c:v>Charged Off</c:v>
                </c:pt>
                <c:pt idx="1">
                  <c:v>Current</c:v>
                </c:pt>
                <c:pt idx="2">
                  <c:v>Fully Paid</c:v>
                </c:pt>
                <c:pt idx="3">
                  <c:v>In Grace Period</c:v>
                </c:pt>
                <c:pt idx="4">
                  <c:v>Late (31-120 days)</c:v>
                </c:pt>
              </c:strCache>
            </c:strRef>
          </c:cat>
          <c:val>
            <c:numRef>
              <c:f>'Pivot Tables'!$B$5:$B$10</c:f>
              <c:numCache>
                <c:formatCode>0.00</c:formatCode>
                <c:ptCount val="5"/>
                <c:pt idx="0">
                  <c:v>2112176</c:v>
                </c:pt>
                <c:pt idx="1">
                  <c:v>6467779</c:v>
                </c:pt>
                <c:pt idx="2">
                  <c:v>11729795</c:v>
                </c:pt>
                <c:pt idx="3">
                  <c:v>248118</c:v>
                </c:pt>
                <c:pt idx="4">
                  <c:v>697676</c:v>
                </c:pt>
              </c:numCache>
            </c:numRef>
          </c:val>
          <c:extLst>
            <c:ext xmlns:c16="http://schemas.microsoft.com/office/drawing/2014/chart" uri="{C3380CC4-5D6E-409C-BE32-E72D297353CC}">
              <c16:uniqueId val="{00000000-3E54-4C2C-A803-8BC7CD454567}"/>
            </c:ext>
          </c:extLst>
        </c:ser>
        <c:dLbls>
          <c:showLegendKey val="0"/>
          <c:showVal val="0"/>
          <c:showCatName val="0"/>
          <c:showSerName val="0"/>
          <c:showPercent val="0"/>
          <c:showBubbleSize val="0"/>
        </c:dLbls>
        <c:gapWidth val="182"/>
        <c:axId val="550480367"/>
        <c:axId val="550478927"/>
      </c:barChart>
      <c:catAx>
        <c:axId val="55048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78927"/>
        <c:crosses val="autoZero"/>
        <c:auto val="1"/>
        <c:lblAlgn val="ctr"/>
        <c:lblOffset val="100"/>
        <c:noMultiLvlLbl val="0"/>
      </c:catAx>
      <c:valAx>
        <c:axId val="5504789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8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excel.xlsx]Pivot Tables!PivotTable3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Tables'!$K$4</c:f>
              <c:strCache>
                <c:ptCount val="1"/>
                <c:pt idx="0">
                  <c:v>Total Funded Amount</c:v>
                </c:pt>
              </c:strCache>
            </c:strRef>
          </c:tx>
          <c:spPr>
            <a:solidFill>
              <a:schemeClr val="accent1"/>
            </a:solidFill>
            <a:ln>
              <a:noFill/>
            </a:ln>
            <a:effectLst/>
          </c:spPr>
          <c:invertIfNegative val="0"/>
          <c:cat>
            <c:strRef>
              <c:f>'Pivot Tables'!$J$5:$J$10</c:f>
              <c:strCache>
                <c:ptCount val="5"/>
                <c:pt idx="0">
                  <c:v>credit card</c:v>
                </c:pt>
                <c:pt idx="1">
                  <c:v>debt consolidation</c:v>
                </c:pt>
                <c:pt idx="2">
                  <c:v>home improvement</c:v>
                </c:pt>
                <c:pt idx="3">
                  <c:v>other</c:v>
                </c:pt>
                <c:pt idx="4">
                  <c:v>small business</c:v>
                </c:pt>
              </c:strCache>
            </c:strRef>
          </c:cat>
          <c:val>
            <c:numRef>
              <c:f>'Pivot Tables'!$K$5:$K$10</c:f>
              <c:numCache>
                <c:formatCode>0.00</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0-20A6-4B79-8D2F-48E933A10DAB}"/>
            </c:ext>
          </c:extLst>
        </c:ser>
        <c:ser>
          <c:idx val="1"/>
          <c:order val="1"/>
          <c:tx>
            <c:strRef>
              <c:f>'Pivot Tables'!$L$4</c:f>
              <c:strCache>
                <c:ptCount val="1"/>
                <c:pt idx="0">
                  <c:v>No.of Loans</c:v>
                </c:pt>
              </c:strCache>
            </c:strRef>
          </c:tx>
          <c:spPr>
            <a:solidFill>
              <a:schemeClr val="accent2"/>
            </a:solidFill>
            <a:ln>
              <a:noFill/>
            </a:ln>
            <a:effectLst/>
          </c:spPr>
          <c:invertIfNegative val="0"/>
          <c:cat>
            <c:strRef>
              <c:f>'Pivot Tables'!$J$5:$J$10</c:f>
              <c:strCache>
                <c:ptCount val="5"/>
                <c:pt idx="0">
                  <c:v>credit card</c:v>
                </c:pt>
                <c:pt idx="1">
                  <c:v>debt consolidation</c:v>
                </c:pt>
                <c:pt idx="2">
                  <c:v>home improvement</c:v>
                </c:pt>
                <c:pt idx="3">
                  <c:v>other</c:v>
                </c:pt>
                <c:pt idx="4">
                  <c:v>small business</c:v>
                </c:pt>
              </c:strCache>
            </c:strRef>
          </c:cat>
          <c:val>
            <c:numRef>
              <c:f>'Pivot Tables'!$L$5:$L$10</c:f>
              <c:numCache>
                <c:formatCode>General</c:formatCode>
                <c:ptCount val="5"/>
                <c:pt idx="0">
                  <c:v>191</c:v>
                </c:pt>
                <c:pt idx="1">
                  <c:v>187</c:v>
                </c:pt>
                <c:pt idx="2">
                  <c:v>197</c:v>
                </c:pt>
                <c:pt idx="3">
                  <c:v>211</c:v>
                </c:pt>
                <c:pt idx="4">
                  <c:v>214</c:v>
                </c:pt>
              </c:numCache>
            </c:numRef>
          </c:val>
          <c:extLst>
            <c:ext xmlns:c16="http://schemas.microsoft.com/office/drawing/2014/chart" uri="{C3380CC4-5D6E-409C-BE32-E72D297353CC}">
              <c16:uniqueId val="{00000001-20A6-4B79-8D2F-48E933A10DAB}"/>
            </c:ext>
          </c:extLst>
        </c:ser>
        <c:dLbls>
          <c:showLegendKey val="0"/>
          <c:showVal val="0"/>
          <c:showCatName val="0"/>
          <c:showSerName val="0"/>
          <c:showPercent val="0"/>
          <c:showBubbleSize val="0"/>
        </c:dLbls>
        <c:gapWidth val="219"/>
        <c:overlap val="-27"/>
        <c:axId val="660939951"/>
        <c:axId val="660940431"/>
      </c:barChart>
      <c:catAx>
        <c:axId val="66093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40431"/>
        <c:crosses val="autoZero"/>
        <c:auto val="1"/>
        <c:lblAlgn val="ctr"/>
        <c:lblOffset val="100"/>
        <c:noMultiLvlLbl val="0"/>
      </c:catAx>
      <c:valAx>
        <c:axId val="660940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3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excel.xlsx]Visualizations!PivotTable5</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Visualizations!$C$3</c:f>
              <c:strCache>
                <c:ptCount val="1"/>
                <c:pt idx="0">
                  <c:v>Total Funded Amount</c:v>
                </c:pt>
              </c:strCache>
            </c:strRef>
          </c:tx>
          <c:spPr>
            <a:ln w="28575" cap="rnd">
              <a:solidFill>
                <a:schemeClr val="accent1"/>
              </a:solidFill>
              <a:round/>
            </a:ln>
            <a:effectLst/>
          </c:spPr>
          <c:marker>
            <c:symbol val="none"/>
          </c:marker>
          <c:cat>
            <c:strRef>
              <c:f>Visualizations!$A$4:$B$16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Visualizations!$C$4:$C$16</c:f>
              <c:numCache>
                <c:formatCode>0.00</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0-A36E-4FF0-97E6-13E3FB55A03B}"/>
            </c:ext>
          </c:extLst>
        </c:ser>
        <c:ser>
          <c:idx val="1"/>
          <c:order val="1"/>
          <c:tx>
            <c:strRef>
              <c:f>Visualizations!$D$3</c:f>
              <c:strCache>
                <c:ptCount val="1"/>
                <c:pt idx="0">
                  <c:v>No.of Loans</c:v>
                </c:pt>
              </c:strCache>
            </c:strRef>
          </c:tx>
          <c:spPr>
            <a:ln w="28575" cap="rnd">
              <a:solidFill>
                <a:schemeClr val="accent2"/>
              </a:solidFill>
              <a:round/>
            </a:ln>
            <a:effectLst/>
          </c:spPr>
          <c:marker>
            <c:symbol val="none"/>
          </c:marker>
          <c:cat>
            <c:strRef>
              <c:f>Visualizations!$A$4:$B$16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Visualizations!$D$4:$D$16</c:f>
              <c:numCache>
                <c:formatCode>General</c:formatCode>
                <c:ptCount val="12"/>
                <c:pt idx="0">
                  <c:v>90</c:v>
                </c:pt>
                <c:pt idx="1">
                  <c:v>81</c:v>
                </c:pt>
                <c:pt idx="2">
                  <c:v>88</c:v>
                </c:pt>
                <c:pt idx="3">
                  <c:v>93</c:v>
                </c:pt>
                <c:pt idx="4">
                  <c:v>97</c:v>
                </c:pt>
                <c:pt idx="5">
                  <c:v>73</c:v>
                </c:pt>
                <c:pt idx="6">
                  <c:v>78</c:v>
                </c:pt>
                <c:pt idx="7">
                  <c:v>80</c:v>
                </c:pt>
                <c:pt idx="8">
                  <c:v>68</c:v>
                </c:pt>
                <c:pt idx="9">
                  <c:v>90</c:v>
                </c:pt>
                <c:pt idx="10">
                  <c:v>76</c:v>
                </c:pt>
                <c:pt idx="11">
                  <c:v>86</c:v>
                </c:pt>
              </c:numCache>
            </c:numRef>
          </c:val>
          <c:smooth val="0"/>
          <c:extLst>
            <c:ext xmlns:c16="http://schemas.microsoft.com/office/drawing/2014/chart" uri="{C3380CC4-5D6E-409C-BE32-E72D297353CC}">
              <c16:uniqueId val="{00000001-A36E-4FF0-97E6-13E3FB55A03B}"/>
            </c:ext>
          </c:extLst>
        </c:ser>
        <c:dLbls>
          <c:showLegendKey val="0"/>
          <c:showVal val="0"/>
          <c:showCatName val="0"/>
          <c:showSerName val="0"/>
          <c:showPercent val="0"/>
          <c:showBubbleSize val="0"/>
        </c:dLbls>
        <c:smooth val="0"/>
        <c:axId val="556703215"/>
        <c:axId val="556699855"/>
      </c:lineChart>
      <c:catAx>
        <c:axId val="55670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99855"/>
        <c:crosses val="autoZero"/>
        <c:auto val="1"/>
        <c:lblAlgn val="ctr"/>
        <c:lblOffset val="100"/>
        <c:noMultiLvlLbl val="0"/>
      </c:catAx>
      <c:valAx>
        <c:axId val="556699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0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5622C164-B9B7-4701-87D6-9DCC0AB41856}">
          <cx:tx>
            <cx:txData>
              <cx:f>_xlchart.v5.6</cx:f>
              <cx:v>Total Funded Amount</cx:v>
            </cx:txData>
          </cx:tx>
          <cx:dataId val="0"/>
          <cx:layoutPr>
            <cx:geography cultureLanguage="en-US" cultureRegion="IN" attribution="Powered by Bing">
              <cx:geoCache provider="{E9337A44-BEBE-4D9F-B70C-5C5E7DAFC167}">
                <cx:binary>7Jtpc9w48qe/isOvl2riIAFOTE/E8qiSVKX7sOU3DFmSeQMkABIAP/1m+Wpb09P774mOjeiIlR22
q0iQBBKZ+csn6X8+uX889S+P6o0beqH/8eR+fVsbM/7jl1/0U/0yPOqjoXlSUstP5uhJDr/IT5+a
p5dfntWjbUT1Cw4R/eWpflTmxb391z/hatWL3MunR9NIcTW/KH/9oufe6D849ruH3jw+D43IG21U
82TQr2+z//32zYswjfG3fnz59e1Px9+++eX1Vf7tjm96eCgzP8NYwo5wROM4QUn4+Qe9fdNLUX09
HCCUHMWIYYYoSj7/fLv3+eMA47PHvvkklWgev33/e8/0+Yken5/Vi9Ywnc9//zz2pzl8meKTnIU5
rFoFC/jr2zvRmJfnNzfm0bzot28aLbMvJ2TyMJG7m88z/+Xndf/XP199AWvx6psfTPN64f5vh/7N
MhfHf7QKf84yNDyiKIpQwsIvC89/tgzHR3CEMELZF8uRb/f+YpmLupHfvvmf2+TLqFfWOEzrb2iN
zf6P5v/nrIH5UZSANeKvXpAk/2YNysEWmJPftcaml6p5/i+c5PvAVzY5TO5vaJPzh7/OJhQfJSTB
lBD8fc1/jF0sOorhSBQj+sWD4m/3/uIh5y/2zYNU3bdv/+de8tvIV1Y5TO9vaJXtX5lR8FFMOeY0
QV+s8iqjcHJEKSWMhvy71b5ksy9W2b5IVf036eT7wFc2OUzub2iTk78wekEuQZgiTuKvnvA6eiVH
iPKYRDz64ilw/EebnPR9I2QDafc/647fz/G/jXxllcP0/oZWOTv5ozX4czmF0iPOKEsY/5pUXmf4
6IiRMGEJiLPPP6/i11nzVDfVo/ijJ/p9q/w28pVVDtP7G1rlPPujNfhzViHRUURAV0Ww9J9/2M+Z
noGv8IjwOI6/xK9XVjmXytRvskclwWf+i4T/evwrCx2m+je00OVfmGEgmvEESpav+SMMX2UYxo44
4TxhPyjnH6PZ5YsQ2vfL439Vtfw8+pV1DtP8G1rn9v1f6D/oiMaEU45+P/8nyREBxQbWwV/8C6Le
j9a5fXGP/0Wi+TrslT0OE/sb2mOrHsXzm1tpHvtvi/N74vQQ2P7CavaPF+rHzP/TmX+WOCRHUUgi
BhLwu/77UbXD/ggPSoUkX7UK/bYEX/ThKw7wnx/r91Pfq+E/zeT/EWT4zyb7TmryR/NYfEY8PzCI
Pz76DV68GvrVt353+3xZu5PnX99iggj+wZCHi/zklYeK5+zFNU/fmcIPw14etfn1bYBCchSGND6k
zzCOaQiZ0b58PQRWjUgcUoSjhMURHBKHRPmZQIUhISzhGDEGJTTYW8v58yF0BIECxZwcKAgGifod
rF3K3ldSfF+Sr5/fiHm4lI0w+te3EVxo/HLa4VkjSOdwe5C49FDHJxEN4fjT4zXAOzgb/a+ppf1q
K9HuFZ4b/0gljXQqKDO0COskEElKrLKtP26I1ENwInE9RipLIiaOpW3CbRxo/6xINQ9ZEI5R5lq/
rDsnYvYyqZ7lTcxitU7HwlRxp+O0662nN4GuVz5X6TJjPOrnngnVp6GvOIuKbl3bOrkIm8Cwq0XO
CyLFGBs1+hsiVGmy2C4mfOiJ7RufrjTAc6ZqGYrhtOGBzRxnQYqXIfJrl1Zr1Ll6Hy9iGvlNjdkq
bZuFQCxwgQZqVpW2Yhz0rQb3QwVvKenDd83EzDpvxbhwPGQ6HES4a1DTzcUaTk91oNWGTaO/jHAv
WLZ628LQ2Afrh1GErDn7Ecv9ZLUnOXrVVPVXIvr9479u5QC/P0e23748ANXfPoGA/UJi//AsqAgP
MUO/PunggN+v9RsRPGz67wH1lRt9Ybf/wcf+8OD/zAERgArYr9/Z7b854Pfq9jen/Trmq/dxUEU0
RAngwIOnUAJ59av3cQAhYUJxyFhMYoY4HPrmfdFv3hYeHcIyeEbEGfgJ/jPOxkMoGX/0Ngp1Swy/
ohDwC8VRDDf60dsSLAUvJe+PCa8ebFe71OhOFjEL34sgvlFLcCzCeXrPB/TeW4s2M/Mb7ZZT4xkv
1mDCJ8QO/kT3yZoKZKOTZO76rfLhmLNgEplZEvXJl0ucy5rxXHId7oOqHz8AEQqvA+zxdg3MnJPe
rtnIm2ZTBsIVc8Wu26Xhl3Zt8o6bYSdsY+Fqcw/+P02FDjDOvaXqNDQqm5bhwmscpaOhJm17d6I0
W68iXUa5ZJZlyNv5FjdJl1XelSd1U48pDdCVXUm01aZ6F9OhSbG1/ZYNfX1mwgbtWgLPFIaiuUSx
VkUUxNMlJ6ygTX8/O5/OxK2pn+LoeGDLo5xRmy5ksbmio/vYiKTadZauKUlWmY79FG8jbcNCUcW2
VnidWdq7oifk2bSObOiMy7zpYpqWbH7Ei7dZYJbTNumGzdBMNm9X0WxXI6oCrJramonrYdIb0/vN
KoOL0rd9MQeTOx5JYlPHJLpORty/N0s0vouWdjMk9mpFZrjuIs73Tc/VnLacdV1Wzv2ZGkllC8yX
MJvE1L2fV9lcdaSmJ0QHJiNEOJuO1aJuJhKUN0Ayoh3t/MrSYIjUcWXiaV/WY3MONZd9XyZYPydR
nNy7gXQilXK2eSwZ39dLMhTadvRkmnt+xaztUtGTrkp7vETHhvDxgTUti7OWLf296ES0i/o62Ya4
R+dUrCFLV9TLblOFo9qzCfN8bAiCxUvwjNJ6nqZU41GcKl2WbbpCID6dgnWe0okLNqVN39kgRXJo
zkMj5c5DZttgy9oPDC9BnLuyEkWEm/K+xb284aQcCjc08gZ1Ep2T2MkdtW2yr5xrP4xjGTRpglhT
bZpuRZuhDVxhQuIufbQ057PpKpHOFXWFbjTYzw7qmBhb9mnULD5XE6ePU0j6e9/48KOaGTkJCJnb
rIJW03GlJJxTL+4SFjDIFuebNYUmEbpdZCROnYFLMjz7OQ9F5S9xBVszmkvfHUd6gclPvvLXrA/h
GQcZuusunuVOyyjuMuLBDiPv4YLIuHoqetWIwi+Dz50Zxoca/G/bxAkst3Mzz0vXQLZktenvRySa
cz9R/dxM67JFMxlfIqfcZTnL8eLzk7VlO/LNMiO4fI8xu6rWOsiaSEVxRsqaX1EHe5AGZvjUDzU9
FZGYb3VLbSZjH8dZc5i4IYO/9nNk7pgb4MS+bPFJtEAQyTmRvggTvWxbS9sPn3daGxm421oly5wi
j6Nd42xSAAOVF3ZM6jqtq3bOonXq72li8TsrgkYWZqDsSkUVPZFd6a6RszJXyuAMVzOjx+MCRp1n
Kk6DYQWr4dKOm94O5tmwujkXoYwvOIr9bioRvi7Dll/bKRiKGnZkl65JVH5IsJpSGw11k4rSwYUW
DndkXnSbvqqDG7lOy3aNW3kzVVOylb1Jis/WGuwgb5rKa57prhQmQ2bhmWxh5Tyj0R5NmpZpzPt6
yeMKLj9bX2Wsd7DrV/ij4fyBK+ozPMkm0+16rkV9vkz+cg707TJVMl0i+UE0PK2G2GcJP8Nmvght
dVkvYZf2pj4eWvUpsskuIbJPTZBkArNrp8mGLPXWxOt9pXScR6Hj+ziGC44lCCYNemf0MuNYyGsD
eWxOMZHzFjUovqZje6dRi87jBWJ4h3iVx2wkGWKCZs3gzxuX5Na1uS7lKRGsvEQmcBfI4XbDZeXb
1PK43saya1OeLLTwYzekbJzU8bL0Y2Z4N9V5oNCzqFy2TPhlEovcTXUz7tp11oXAAzohOHpSyBwL
Hl1BmuyzbpnJBZ6q8iGo8Hsd8Cc/yyFdhR42/dKbdPBiKYKB+LzVa9+lWOElG+NY3sygl7Olbtfn
YYkyvNYijdZab0bjbkQ7j6cJ67akNXUWRSsYuInRxk1zmbbWd/suRnexD3HKkumkc344CTkmxxaC
cB7yeSyc6Mo0TObTsVrHTSDlwxTONHVChnvfhexUwcbftj4O82gpH0I0TFkwTOmM/Cfix+ux4eyl
waw5pnYKP7A4kDnquluDdPvofUAK8HWdNmTiWTgLnZY6Mac0KemULusK8YAs/XHVrgSlEQ9ptsoc
J+XNNOjn2puyCAX3565WdixItTQmEwaHPhWrAn26YLGXKD7vIeZfwbZSRRiX6JKsnhYWz0Jmwxy0
x53oxpzqYEk1wuOLjnBXrAM+8YPsUjKOj3MvcT5xneQtWt6H5bpkoYRsn+Ap2gbx/BTS8GGqyTb0
U3ln0ehTQroljYjtMqgigjNFo7vSizCLwQ3TFkqO97yFPCw0yQ0K+d5CBVCASODPlEXLNYsadNf5
6aAhWEIyTWN/ak1po3TBJXdZtbR3LZu7lGoKCrdk7YtRqj9N1MBSKGjKXC7BsoGcbjedhrHVQAq/
mvCcla28IpS4vKonUFYkiFI7Kn4+LqP9IELff7AYkfPYUJlFoLBSFTdr3oMXQSQ3zcyyWkRTVnYD
T9LYtdV+caZDpxqXyKW1XuNznEzzhlfTEIJLVPcmdsFFjBTPOoLdBEaUYVaqKiiWrp33LFIUdowo
q1RO0YhTulpIg26W55IjdkqjoSzKKRqKUk/lfTI15tp2a9MWq56ESE0ignNT8egElEK3RaGcisb1
ZdbbSNKiVu6TGDC+QENl7qxq7PFYs+ldPBmZ9hAL82pN6swyq/OAjk0WsvWkG0CFDcsSnIYSAtiI
8HQsy0hnozJt1pa+3MgGcXisftp62n9kuuepVqW96OIgPFOlUJueSLWdcL1ks+3KDDTDmZPthgbB
tsJVnPV8fWiVkmPeiqXPnJ1UtqIOpU2t+81AQ5NBe5JuV7meuab2WyUDSANzSTZRr5fLtQON1y1S
Q+Za+IW3U38ztdoec9IFD8Qk50iM+sWyBgRI7M0mGeNqM/flmAZkqlKlmiaf1QouDkQuXXh4DRlU
Xgjm5nRMZp/q0Eb3ZHRbZ12Va7Le+Jiwc9dglBrO260XaBvbRmc9UoVcZPUyOb8lBlLeMsm+WJp2
Llzo3GmzIJ3NrS5P7FTum2q6pmUU5azk7YlfY7crW14nJm+DukNFTNbrpIPoinZsDuJmKdqx7tG4
7QbbVlckbqccXFjbKoUJ06VKkyCoICVUUximXRJWfsiY7b07caB/130EUqXL2mroosLrdskdH3Gb
RnPn2j6FvD3LfIibDqe6Wmr/VHfcLjSNSSnxMWTDd26gV0GYLJtBJHNW0dnelGxdC+RXfV61kdy0
S0TPTLS+n1bSFOsYXzeJDLJ2Nea6TgTO+yRqLyY2Rh+1kz5rsVg/Io3MmR1YsGnQ8qIqjwsb4eWM
LwvJGfSHTqmD6ieNan2Z2B7vLYun6wqkSoHLmeQ+YB8oD8t0Gub20ZrKZ02gKIF8X54OQROnVRuG
WTdpkS1L47Jy5DWkyrHfOkObbciT2yQwLo06ulsJCO2+b58ZtktKp0Gdx6jLekmf6h7rvDRNcuqr
NRZFiw6iv/LKfAypNc+si9q9tUKDjtf0mMRNdKLa5CZc5iRMJ9AyQd4tpjtZ15JrEAnU72mjgqux
H9Z3vQr7M10PT1CAVkMh8TSPqTVrtPOilHkj6qdpGCDrB9PwzJb4ELNKYzazaJaNQqF6APkSFxgT
d23KZM1AA12Tpo0uSLtWOkW4J6chTaac+RU8bRb2Pp7tvJtGIvZrv/Axm7zpLzoxsShbOak/ikmH
VVq2jdsMqIZUECaKiRRKQwk6oE/4M69CCBxLFaHrZq74O6PY+LCSQXxcgcGM6VISGkDIZ4nI5tCK
WwGiv4jQynelNHKjITAWHK0njS9FOloosmSzdudNNdsHZFaUxxMjXRqJuslU21qZYrj5xVSBKGkl
r6HwbRJzC+8/qKosjJzESmQK6tmsPnONXZcuJ9rMqZr08qnWw3DMiGmO1WTHYxeIl86tTap9yaB8
1PtOzQPUWYpfx0O4XAKaGa9Jm6x5ZydQty0N0qiSvFAlafI24eUpPNgdFH5lzpJaboJ24Cd9HFQq
/f/U5z+/oPcbwSGARP+Q+tw38C7ED22qA8j8Ougr9oGXXPABucbwGh+H1y4QYNxv2IccxQwazKAx
AelEyYEIfcM+yRFQUHro0JA4xuhAb75B1xj6n9DACVnMOMY4jv8MB2KIvOJAUAQxAlwX8kYUhSE/
UNkfqCtfYimlr9Ax5170NoUaK1NhAk4o/LRvLAERWn7wIJb7dOZVfRfOY5XRkMhdU1fzOZExVMFq
gZzISlQWikX8svbVuFOx6G+lgAiSAhA7mUpzWy6l45mfp8eQjJ1qcgULfKdVIO4xOOPlOBzK4wUH
6jkqhdzJukr21LvoUYRTv2YO6+iRjPGhGoN3KUDZyACciLm7jsjBvRya9aw9bTS157VkhRp0xivX
7sK2G/k2XkpxawmtTJtWwUyhRscI5biWwW1Ao9GkIOAXKI3bKmWT6lIN+IXmDMLaOVKuz1VX8w99
13O801CQwbJIjI+hcKz27YjmbO7iqU5D0GpFya2NNmgKgero7iMdVrGrbDOCjl5pDpKre69aDToL
lTQPAMlnfUnsPcatvx5khKoTqmcISOMwXkJEDdnWlUBkQrcED0b3IBy0c3d1qOu8a9qeplCPT+x+
1M1iMgaKLylWtQLscm0ZTpsyqfomYys1+GJqyDptAngx6/YzhJhHCqEs7u34QCsK1VyC0K2z5LDK
HYK1qGWCbpMugkrFY4tu4fVUqdN+jODyBiD1kipp0LkGFTNnzOhRg24X/VDwaEE4BV0hAMmrCcpe
KwBDIAVyNvv8zx61YNdyjFWcTrOA83w9wJiI+I7tR+HGB5ysw5BFZgAsQ3nXZNEc871ZKKCNvq4g
TFcuSu657MgM9UeZ3KM5MCCv+CIX2JoU3WIUwTSGGbiGZXJeIfcm5ITUJnocQZ/oLTVcNalyet0l
wsP9/YDkDleoW7OWrjAhdlgUPCna7ky39vVpwD08gEWTqwpWtbC6w1KODwAIhjKtyqUb8sgr0ubc
sZ7mnMkYn5dLb0tIPGVYnZhxAWhRydY8ty0IFYBI8Jm6w2VrCR2Lbd+2ZspkIBa9pCBr4QDlAi7v
4sPk+WpayAu4gxVU1sE3K+SrExoP9MS5GsyyajM+xBXwIxqMMIlyxuElb5Z4//mOMVQwbgPki5zY
HsHenBYM69vaqry3qjM8IzSqWE4tXtatUog+hv7AJGgFKCwO1fgwYbQu6QQM6LiCfE+vALQkRUem
Wp40pFG6KOOZkGzCDVy/Ij1Myw+AMeqyj99R0/rg/vNT8n6dq+Pe00ZkBEXwsNEYwy4LoDd2nqhe
AJToNBGpji3YuRuWab0xtgMaKPuDSYHgH9ak9aE+Nz6RuyTWgPiUhM+Jb6oDMqiAYwVybbadDGBD
JMMEEM32EKFYCxCBDiHym2Ya+0/rGsGObOPgsKdAvsi0igI+bKEHZOWOocHNWT12LnOsMzY3CV6P
ofSy16Hl7nJp/fhAYKcRqFRnxGGfigGl0FId94bPmRwj7tMIBxMUvVgnxTyIimQe2PV5HLJy1yY+
uQdjxnUOvTl03UK1DThN6fHB0FmXG9Zid7PALgYKxocNFOg4C0EKXc2N0U9tAA3FtIekc98nvbvh
cQByHCvY2FhZBZOBBdhDOzCA2Q2dJMBKI6EzY1VP8igRespgyZb12EF77dhC/+9pGltGCiQkJwUt
7aES0oByq6oFTiwO6+tdXd4rBqQ3nie5wA0He2FRRAsoEHBVBIbYFAMtS9IBSPkJcQ0B5sXrGppm
vroSaBTX/SJjUHld38qUdTW+S+TKNoFV/oWygZyWCgRUu3D03EdsvefV7NgmhBC4n6BQfiGTs7dz
FPmTcRBDASK5zGQT3Kk2UPc1pjoHuHIoPBPebD0K2hS7oN8jJ0B5J05sQj74QlTh+tL4qgMPsL3e
8Qggcbq0zNMUWCB58F2rd8By2ZQl8HL+ybyq7myIcJRH1iqQrc5gQJnlyvZRNZ2rWA0vUZTUtFi5
WvrU+cmfCuP4eW+DazQE2BVhhIjKOr5otO87iOZXKyX1yRImW7PEbrNCiyHXUzeeWWAnaRfM5aVY
FEQTD8yhCcb5GgnxHlg+qjKT6LXaLnND9mMnQnxXjkTe27pXN72ll3W0TNceA3q3lUbXJULsRjBT
p/3sDL+YoKQ5blg/FmFVh+8rbN2Olvx2rXD8btbQupEuguI6skICF0RjPx4vyh0c3x67MRmyecSX
WgMVjIexjoo+rMO9laD9fTmZ8ErXoMQdZmHRtwqluiUK2MVi6rHobSjCvC5r+6Ec4f+CZIjOUbsJ
h3kejv3U93MWIAqlLZkAM7rQ3GLR8YcGJ6GGVEjCi7mlczqEwXiyxAR2tSXtBwfpfWf7eT4HQPXB
Kj6djXr1JkXWjXHGRGn2Ol7bfKEJvvFJQHfeteiqQ7H5tFCnPvikktOjM2G/XDWxKqudUWt3UvWd
yIBAvsd+La/qGroRXQzUDqSg2y8GkazXIGmg83w6axJcAGCOC41J5VPPhpfeWLefDjCljDy+ahuz
PPAmLvNqqOPLZEyiCzfbiqWdqAHshREbz1lQdmdhOWGR13MYXNFOQiEPFTE0K3ooJWjsTkc9iA/N
bGgWyfGunMfwtAvVvYGUCMwP9qluwweEq5PWtnof+Ii+t7YiQFM7rzJUalSUQV3vdEWrC8LlfDYz
dcxna9KOYZPWIQKKyeTo6N7WhsIMOcpwDT3rvBrxbCD5Becxha0SNvV+sFweQxfnXdlSllZ9PKQK
S5oJa7o8dn2fo3GBfYBHAEYuTiBTJOWaV3SKUxFDCt8klIQuxXgkV7yi8SVPlLmRikLnXgHkhfnU
JutWtwmYWc6A20BLcK7u4nBCO6GCJkfEjVklfLRJzDDcNK1cRNqC/NhggZrc4b7VxRi6IJ1NHE2p
13V9OThFNh0J/W2o1LLzmoTvAgUDFyDeZxCBluPGQXsnN0NyRUy4bEcx1/AR03FHhnW6rqOhXzIv
tC1mKRpoRViJTmfazldNA9xWlfEJNy3fy67yd6HuyziNhvm+nuv3bTmUAI4RB0HhlupuGZMpZdoZ
yLianMbj4I5dWAGxS2q+iWdghqlRrY3TYQihCudsjtXGd3UEnjCYLhtdNG1oM0N2hL5alU7Q8tyO
lvL7MYGJL6NTN8AnGTR6p7ItIB0CzGp1k0990qW8BFLlFLquyxhYsWprmq++0jtJPRCPsPbzzikq
NxZjaGvCGHfGBlfzjEG8eW6nOf4EHQtbQK8zWo+BNvVPI2PTcaKSEppQIK3g9QeV9ouf4GUKNMis
H9q4aIJpLADRNRmf+XxmgQbmpe9N5pdpyTt4k23XtcNyvmo+kjvIb92Zgb4icL8hccNlaxoguF0k
r+fBVfF1nwRkzaIgUeliWpAFwtKPHXTzq00SCwEOFIIWBDbfXVSQZKuld3vRaV34uUtc1mpeXmmQ
AWe4H0eIvJ5U79mwCJmvpAWNRZOHakbyei1tO6ZDVW+mbvb7SEfR+STqSaXJNAX5LKP5FForZufQ
5LdcNO4SRUbf1nY4ney0G/nq8gkg98WgpX6KIVpuFzOpU7RE5VZV/B6Emt0wrfKFKXrVLr6H3uLS
dd2mdUPVn8KbLdC4bxIg+Sk0zMc2k70AejLgeL2eSTh+dN3QV7B9cL+koxigxS5mWBBSrvtuVsHw
5BenL4PErxdBvaqmqMYmmj9yM96OM7SxWKqamZZ4OwQQ3E5KF28BxLNrifp3I+ldvRP9xMo9EeGj
scl45iIQcg2HvXDS2aYEO7e+K3jX1uwa/i9JBC+8DPAv9X/YO7PlvHFkWz8ROkCA4y3Jf9AsS5ZK
1g3Csl0cQUwcQD79XnT3jrbU59jR1+fcVEWUbHECEpm5vpW15LYbxL3Szhyjps8t6YtIL39tNdri
IbdpldxXTJt7nH4Xo8QJupx/4Tf+DzwSkKf3gAQFb8+zgAdxCEQiRnX+a2FcZcu0sgp5bWJteLFw
VKJRU7PP25pA37ZBc/r99aKduPiFfwqBP3GgyzDMJDREqoBOwa8XhJS3xhF16jxIm12P6P58cQjM
XztIpXXJ1IQmIA3D22pOJ35hLXqja+ECUsubNgL5cCTY2IfYDKG9k3YObiWJN31pWZA9zzWUxRkq
9t7dHwTSNhm777SiPENBD/bokcVE2IPxnT0304Q0U7fRVxXNy/jogixyx20MggWSSRzz8BWokwY8
kHoUbJWIOHJ9qER5h4jxWSZcf0Hr133Hkhn+Trd5eORZhYx+RBdUFjAF6S9Uht5fV6iNyB47KQqs
gIhPG3GTO2YtCodTWil7XvEH7V2odBCfbB2gYeeCVH35WQvL2AS3v/8IHxg0fIMkikN0aoChAccB
0fbuG3TIkEXsqDpH614vR02L2mAKepRrv7/Q/ovef2xcKIthSEPvg7OPqyu1qOBMjwv1dY9PrFMp
D+Ng8H2w98KvrklRW1fKowjZcMp++W+vnlKeZlkMJAkerR33+3WpabIGCV29OttWs8/xsqRlY5oV
+WNvz8oTXDUeExQBZJEo235/8QD894dnh1TI0NkGUQiD2MdnX9qICCWsOrtA47fPSzWFN0ln2Oeh
dSibwyDGw8/hqq7GSiNHpXaYUPgNVQIxMvTB55839C+O8/5XFPFXrOxXyuz/SaiNcYS4X77df0Bt
tz/mr/82Rf6TKP35V/6XKA3Cf1Ao3DyjKZpC74hSBnzzX91MGAEp3ZuMMQI4Kongl25mhB9FMawC
achYCvDzv+lmBuxDNxMwW7JfhmWcZzgQPy5sJKJ+HsAz3STCJc+gxKKLlQfEQpXvaYnWkjGl1+oS
PlIT5Cow84FCoDgsQClOE3PmOhJ0Yi9RDR1AJb2tr4yfeVjgqPERxLpwfeZzOL+MnbQl1J4tr/XK
fJHNKUQwPbZj6WM0EU8AMgKcsU59GWYx321IcXyRkmGZ8m6zyZYbYZdjI8MOB0yLgskCQwDLsI6n
OMMt5rpuPaC1SoVtSVZQReG6JvGx9ulSnbMw2KbSdy19a6ferXm/dt13A/DurqmiWebLIv2dEMoh
yasEnl1quXZ565suuVCrDbfjFkxen1DM4afcQfi9RH93vTd1ZNaLigxRW0q5enKZ4gZBPomNSCjE
UvJPLNXqUxa21cPWdvOdQd8Y3YF+LJdaplUhnNrpHJucZdYPBh00tVVIlEd/b9OpG6DzWj/qG96x
p1HrMdl0uQiqRnMWQdRMJylYxZNTimShOia2oRstfSstFPxuSP0tTzY5BMW4zgRt0kBBiNeVqQGO
wfs4DN2hSXvS+7+c7kPHH2YgBrkFVKvzNGrE7G87gzpPHGTf2CzXqrLyqFOdViD7Qh5XyA7rVtyJ
YCXHWajALUXkRs7wMqc5QaVIyVyX0DrjRJ2pWwJxxWzdixJk1LwvnGQ7A8OJtiPxLSi3TsZLD3Ry
xMlKb4NVtiO3uXVuXjaZdwtbXPBSiZqx7Ytv+nWw38fFoEyBLLhtvfj0/wPeL3rOO9PA/7oTfkav
HV7/vzO8H7wH/9aB2P73/hXz4vgfEEx4HCWgsN/FPIxh+EcUoM2QZhziTfwLxpuAlI/CXWTZFaB/
M71BCos0i+AfDNAlyjDH4b8Jf/x99NuviColi+EVSGLISexD9oJeugWJ20U/0kCMyAVRTWvkzXRv
ND9H0aS7ryGxyOUGs7o1RJXqo9oXRAn6Vg02HEihmO+Sy6yOABZ2gO7Neclk71DqSmQNuep8pN+i
DtyqKkkc9y0vKuRRwY8Ekvr00Ndodn9FdqXFNy65iW+rGP1UnsugcbiVEMS+vKsDOi7gPvrIdjpX
AOTkdZCsBrdcSRmsV0zyof2buBnARfHLJ/3XWf+rzQD2wF+SD+DTFGUEMp5wt6jhde0Z4C96Fzq3
zVTHdfpDLGpozRkQYB+e+3B2CFebq0bAxlujMVajp6Jh4vj7y+963/vrQ2tLOJJ81BYxhL0PWf7W
8tTFNG6+t0HH0WwfFQTFOs8yNIPbo4WUZEdwn2MV1jkJyaaH+yXkQJzRB0N/mV+OOF5cB6zWcIvO
eJQa/Oz3N/m+9AGhzjmH3zhDRIRNHMvy/TvydUNYbTn5HqPXQRkAnaRKzLFPw5HTfEAHK36FGiTG
PyTFH77Nft0QgDxjUJIy8NQfrouKUiWK8PQ76JEerfqZ6t691KgvBzQq22Zq7gaBoTBoP9UQ3uL8
94+NNOTXT4PLI+FHOs6yEHg99tD7x8a52RDqa/6dJH1iOOgrGkdfsZHIeAHRIOlvGxKoAMeWWafH
zlG61bmrmx4v5fd38r4UxAeIIF+mUIXhxMHb2L0/vy7SMW4oyuJBfIPyN0T2pIyWYj0QIV22ntbU
enyV31/yPx8+TdIYUjWsAqj6Prpv6gSCDLQT+z2MF+zy4xrEYKGOkV0mF+I8FWH8aie8dSDWkLXj
V0XX2aKobIBaLH9YCB9U6f0F7NXwz42KOgVq9/sXUGVbG2V6JG91YxNJzn6s9w0hvaoxeGZaoMnt
xCiSFwicGeO4q6ih9fQoddyuxUACOzxmskbKUBp0qtmDnJvBvf3+nb0v4sIkCDgKbhTrQYIY/pMV
+PUzTYtILTWbf/N2tFgEdOooXhaFdhqRHK3DmTxq1pl904yL2v/V6Gr608t6X08h4UUsy7BsOXCB
LN5z6HerZaBjLVp03b9RNHbjV3RHcF0WdxFuwnJZsfO8pDMq772WZkme2N4lkNM2CiRsBN2fPLUL
ncjj79/Ov4LpL1UutnG620gBwOxbK/1Y6VFqBpWApjvZjdEabFLk93gyoTyc1N9uG7AkC+SoenHQ
hMSGAj8fo2oM5BWOHRARVaE6PXp+zUI/tPReiggZMWSABV/1FmB6F/i1EMw79sUZI011sC0LB4PU
btrYCPmNxk6WqY1o019zHyiOtvr6M551cToTficgzRl/01XwJ+DQm+a4gUJFWwTbs9nipJFlT1qN
ldT3c5TZIiH4azWSuiXBv6pepVh+MfTq+JVltt47W/vbRC7M2qjICBRdeVhANWAhK5am/e3AJvyB
AOfjlNxy10f4BaRl+0LR20bx3agGmIQupENvC5iRs9nQlLFO+nbKQT5y3AYAyhjXB9yHz521Ff6J
g3XB+91Maiw0QgON5CKhpIsZoAbYCB4lcDs+X9KFiaYqei8dbAS9N33bPwHTbjN+C1AxgzjXxpSw
+RJmAovzZW14ty15tqADbsq6m2Q2PyytT/ggc3TeUyUKMqlqoTI3MH9H7D4zmU6WQ2XiMDKfozWb
N/WZ0nXfkiLoKItv1egWFX9uNI3DqsQ6R0A41tYEQVvIIHXwDyXMuPQyiv3CXoPIr2N6GwIS0Z+G
LGs7hrawI7TPNaWxHws4GlPDDoNa8W1BkrPNrjklKKfmwmC5R4BPwlUs113mRrfltm+X5nIgWWoJ
gK2aggSgkGTeYiq7tS5FKDQIV5mgJfcyGJMSdEeDOMHb36Tdv5oZdFbF16lsEhzfQ93HQCBEBEdQ
VMgwFPhA6zCCZ8v/uTT6Bpnj65D0XUxPFo0ugHazpTHUYQu5LMFtsA4U5NKROfuMsKLSRz1kBDxq
E1URjAzV8hitDYqztVnEqQlnfm4o3y6k9fN5spV6SGzMCgi39W3SjD1MPeFsPwss6nNYRZDUsfvq
t9bq/qWijSp9FoD0SHs+ngLYWYqFwXeTavqqIH7lw6LjayCmcHWFdY2vS4k9tokPD61qprut7Ud6
wModD+kKMwtWbCy/1Xp6hAsODFBIKnC8bjxELvQFjpLqDB9lVtbZAgeQrk3RNbr53oAsLvtaV/ka
DkMZicxcphuTR5B5wuaDjkL8ahBKRdgOyXHBr7xIyVq/WQ9zAVtr8d1ksJ91PujhzMra6Fi3VD3q
MGbQzStqQBJwVT0tfku/9ihu84xP8vOSsuZA2Ugv0SiDjUIRwq9DQKRHO7rhh2sT8YmSqEHGMfLs
OxDmcEanUgcPM2vr5qjXgRwCJ8cHN4fjxR4KSrd6NPadRbkdQfcqRJLB9vLSzCxbL5CZTt8cC+HS
VJOGga1qZL0C/4vSH+kYJbIkgthLmUXQ9MJgbD+h/dBBBJLqCiVoAPA7rdVX2jp97ZOQXrkYoi9i
Z4ROWljNy6W3k7+hSTdfpFKRywZGLlamiH7fg2UBP7FtaVDnIyqDL4s2yw9DiC9YE2xfnWsVyzOh
UQBsm8PKrXvd58h57FTqben8ZTxVAJcp+na3aCEiEEsNo8XCgXdCMu7RbfbGHpmeGJxbEqg9j56j
Zf1GJyFuwwDbZ3bQBmViaANNS84JdEIFoCAZh1tdh/bLqv18bCkURHCjU9d5mNRgsYrATKM2/zqD
LMg5vK5QoBeeMyrHTz4YOijKKwSubhyrJ1Ov5sV6LVlu/ATkNoD0Ab8b7XkepLHosPF8vRUhWin3
cKvVfTFsc/u1lXrLSUXlM4btmFxDkfyUKaBrmoGdnywVl6BT0JxNY3/dboGFZqJCsCijGIHWEDAT
1VRdxykBqt8HXfbVkoTSMjXaAHVunbmPlxjiDDPwOWXNlpzHQNX3Wklz4Ettn2DK1BDtfXBq9Rx/
tRx2hnZrnzYjt/RkdLjmrZHVD7AZ0akek2k6qIiuj6OF2yi3oVmvgq4aIcXN80UMgPtkkiwK8ipx
2VM2jNkbRFD+ubVCvc3bvP2YsMChHil2E4oWBgqcFKXxZnyUXIE2XYb5mljXvW5UDSfeB1AchmkL
b+uVhjjLPCISbWF1xqndxWfoGqLQbmhPXTTZJ2RnHPc/s8uADvzYxtx96bUw99lQ23Ow9tmjlHa7
qlxrDj5ByIUBGt68IaTjpZ3C5X5wwn62aRp+g58DwYGZdb4NwWYdUP0sdwEfd8UxWS6axYO8VVM6
nATwp7I2MWqkBTHvYiNWXAtR208bS+unFHH7i9nS8TMO/OqMzZbcbAEZ73HUN8c+ExGgxx6yPVSJ
vky3dYCyiWzyuFVE3XddWt8DftLgPnRPj/Cjmy96nEIgH9G2XdssnK4agZZPRaT6XPEtk4jZ0h94
0qXnQPmqmPUW3qFbyE81JLbvRDBkkddQ4LcmK1bpA9gak0nvkFQXcbSbDhRyNmxIfabF9UJ0dZ9B
krgl4To896P9ir9T5W5sgmcnkcG0U9Le+qxFARXpoLnMlGavExHTUkB8pTfrnExPDZtnc6rBZYdF
VgcJ2nvKpscM/vLsUtapLpV3sDfMsl7KFARekgOkz+ZccjHcKuJocLUS6MdhGdNltNcmm5f+GEAe
Xi4GoOt33IfkUzJkjS5iD1P8oc60fWirZpYH26u1vpJNpxrYtYYINY0QATkls3Pbw5oOdqrhmcXB
WGbGg+/q8NbUUnWXMLDGFkxIgsylgE4u5puuh62h4FNQfV7gqV8LRfv4Ggm3CMolQIp4BT0/Hp+h
3gG+QRyxeoxiJE7VQCpxnsc4uYyYp0P7eeOrYDNAJrObrhiCHb1IQwhzJ7M35cp6dtH0mJEKBrSF
VT0kZEsEEJCChJl/bDjJ4hwQRP9JgS3aTkvMV1j84VQF/ZK1fihgCKTJDciabSnVarZSDVtz2bKx
KdDb7i5HsnrX3vUribON4/UP1MsyoEx2c5evmkXybhzDNh3LNW7jnuXD5BT2QwozTjHB/CgPYTD1
9XVX6xYgwKD9VmyjN0MOT+X2GCdT252HJozUoVqi5aZr0Ogq0Rj2Z15hSFmJbn2doMgDmHPRVVaj
tzpFyQqPtF8/xyMbb0mU+aSQrQgh24UdqKV1reLnQIPbnWGyKDkmJIARUgLzEmDnYBMrkMLVRBWj
IxMIPrhJ44eVhCpBYjala9PDqDWN+AMKFB/mXCAImTQ+1CCLAL2bYGeLZBIk9UEzr6LoJiBzPD21
KXDIc7tbaat5ft22unqqav1aZToCkGYW+bgA3QKNK+yJ4vCgCBKxfYzTZLvq0fq+tbyZjnNtM0A8
etN5EkMXBz8RyUc79DEMoTH83mkDu6WdR/ltrMR2TBSUdlN5caM7nCtF4N1iyg2HTXifuZo/wlNl
bdnMqUDih+EVVe6rZvkeKN190mZw6cElSXXt1AAPoYEN/TD5ahYX8SDB+hDpswup4LFhg+mPnRHR
49DR4JCNtbrqBBxtrPPhFdPxXKjKoSueoSwqGROYqjQl02nzjGGKRYJDuIRpxoBsCWJ16+CqGS+0
XUSeuYX6wnRVW4SxmzWczFKg/yfJMF24GA93WBUJHjeBwZmCOfisYA2aS4tNueTb2tlbnPI4/Ju4
68umRX6BWxAPOHUazArI4mIadP3cNlXwClnbH30XwABJM3lMdNLek5baYpZx/YJpGU99S1FJoXA7
Jky0X9TCwOhFHIZHTgXIKcbh2xPWt2nR9FN4KTTDQ1dUgGbxcwFxid+1KEsu5yVovnVAEF47UQUv
XcCX6zkYADVqoy44TNHPkHVYt8c0r3PeUnMTC8GRtyI47osw/BZ2EoXYOsj91AZy/qbmlDSHPm4a
nFASJcsFTMuNKpyFplGO/aZQCCSYvFEAeaADUF2gsDe9duytrusRhtEe94DpBAlYmA6/d1fRsSbq
VUcXMp5YUqKEn3uLXKurLqVW418aVVtddJpz+oqDdwE1QmCJOpOxi0uI8+TcmIg9xW1YH4HgdlPe
rETfRZFv3yb4aXA8oPI8qgnNsxzWOX7totRe6RUO+txWSGmuvZv0W8dGD4dwaJHYNkBdvo3jir2C
TYk6bdIRD7/PS4YfZu08H4Z25peYwlAJHK4eos6cRPMPCISzOMqkHq/CFfVbTpCOjGUvDIkOsAy1
VUG3OXoGt95/SfTsC5C8roQ53dDbaUmCR5ABaXYUI3I4KM/AFE9wW46XiH4DqDZT1zC0+2z3zG2O
qFteLwEpYMSD4X+VNNIHq2f0CI3TWERFWMu6Dbv5WM2xNpmE8axDkmYPexk7F2I1DUNOzQexvQxu
Gro7psA2lKgqRLej3rHadGGDqerXE6GsHcI7UMwizbsA8PzXHugAgZ+LpIDrjxi/3Hl609UqBgyJ
atuHOp+2WjrA8Dhwo7WsA5xb8E+MOOXXcphXITtMHxBo6RRuQgGm7/sZogPPvaumbDraSZvmpaq6
UFXlgq2SzAjf8FeCWfJGxSNGIHTxcDHVE5F/O4PBHNGh7rpGwlFg1qB7FJSRBDgaAVI4lHYNCW3v
W0gA+A4hUa6Z2nyCD8vPaFTh8X9IgiE/eI+uHdYy07WPXuDZZ/WjwQSd+JXoGP2Dsc/QZiAsEF5f
YX4YPFkFQL8QlTD24ZZ8r0JBAQGhZ7dhv5nAZc2XSS81qfMhXdaNoLIVINRwRCAcj8+A5WA+Bu2y
Un9L24yuYTFVbjLdaWsow9fCkdeq9o2n0zADqe9HcEdXfMLjbTkmUzPmijhyXIpHPka6iQ+xguEb
drNpMqsSJW9G5DioHSpz1LB2IB6TUZVd1Fc3rEbVkAt4LU/bmsGKNabhqRkTua76WIcz46YpBmQj
YGYP1eAx/+OglyVUGXoHIKGvN6R+cKGSPhZzPs4i0xhAEJosPMDoxsOTZVY+63Tqn8im3JgzBfko
DyfsnQMoB/mdDruJdIpobbuDil1Wl7NlcIDmGzPjJ7T8p/XQwlJxmYHHvo9oNJ+5mZprRQUvOhZP
N7ACrpjnwOV4Mc4ZPXFoPo9t5pfkwiCFS8B0aXDLIJy74WRHyorRp3C7ob0+d9/1RjGtQNgQtoIY
5+iE2Qvb+uAasngkCASgbQITfoGpDlF0ArYyylLI1L+RTfhV50G1mOABtowuKjGIffgG81BiQfTO
KA2GjcyoRmwb1AekE9adpzrq5u8w0O0dF2TUbCi2rsYEDRxdghwlYPnsaWIGlj1BQ0DC4UrdOXAq
+QIrfoiGZQJtWBVoKDYRKtRkdbcyjelUMhpN44vbgF/j42gha4DJGQD7YQrYVRiiuXVbofKWMFYi
D7/xegp9vvAuOSRd3F+SyqncbVNUWJ3Ot5DLTcHWCQMnhmjHLslYnzZAM+BxfEVy7lNzhlPAtMWE
htnb1s4Wa0NknyYCrGeqYdiH4IxhIPjYJcTmNDu0k1p+kHZPCrpWVxiHo5l7RXG51J8SyNt71sVZ
c0YGE19aONGbN4RIDkPvHLYPCo6cGy9J9b2yAd58umz+PApMcAFRsDU+1w1dnlIfTffA+Gs8AoQo
jJ9IpEI0TWSd+y7KHgK0D5Mya9VyEaBp0ZRA25q/4IqCEhh18I4OYdsWZrHRoxGVOo5soC+xdbAv
JH4ra9tvjyF3QAqhYKy3UEVZU8IKPEOW6eF3zrNmzuaLKrYKYX7YvIMbZvG43ayv85281oUekpUd
MYqMJ/A+QxosK8DtCL1ECnRhRp2IKeeVg5kKxK674ZOerisWzGlJo0onx3bs9efFJ2NwXMcBTym7
GEZcW0PCl0jA7wzZM16HOYgwqJN1bXJA2RiOM3SmqWHOT1vw/miX3G8SHYB8i7WOD90MGrHkVMI+
DB81OhRR5C4qT6UuZ67/Xlw9wPbrfLGM0folQbSYr/wI4KTszZw+uMjC7DmSCP58Asz2kkumbngv
2FVa913ylhGxgnwORHZFSM3e1r7pLj3R7p5L1xZBk7KvZhin4TC4JIOVOHIt+s1L2KwlgBLQpb1N
MXZhqgE4IP5a3l+1AQPTPMZwihNM4fG36Fx1HM0AhdkBvZbBlybDhJhc6sDeKpE5ekgWDCQrNkwn
wZEpKJz9Mmjrzx1cPEuBcxNZHfLzsuawh+3vLb5b+II2NGdK3Ka95C9mtUGVYybTF+6kerEw1uY1
ZhQ/JCO2DYw2M5Z8D1swWWDi7ZwnBUHmcWOnDUPM0Hd5HeBKgkMZmxomwC65G6dRXY6R2Y1iSXeN
vkByJoKmz+gYN0DGhyp+02yDHTGk7mG2K7vonMKwFnhBlj1bo/ICxhW0eBLn0rPj9RCXWwbjSC6b
zJ8GuLr7B+jdMB2iuQUrnwvDwvBoOiB9ASO+qhojfJbgpRarf8nEGOTaTRTiZ9QdZNqLvyFg0zKM
wvEpRbp/CkIRvKlq7l4o/kqUE48Xxzh5sTJMb7whzUnD0ZD7dPqqpBrv9URXkaejogH2wXafVQRw
mw1CecJ5YDEsKMU8Csydu0IXjVwvhtm/WjQ74CBDoYJBLsOW+zpQzyTtw8e25qEsQnT1L7QeggjG
46XvOMfwEnT/7aHT6AfZNxxQ8EqVkFvFmrygolVSP9jQYS7G3djWBlHeYVirgehsQDDUsK6srTTQ
Glo4Ru4AHe2S48L8LjlyRaHEXdCplu12kYp2HZ9E45foWzSEqjvDFC1hORChpSMp0zkKF4vg1WXx
ayIlZNQ2C3boHRhzsCFtTOkKZ3UXW+ovptWji5nHYBKOYTgs6Stg7F3rNbrrfY84FtU0KpHnDRJd
0jWuqoMxYaXmi52DQvfdr6AZsGkAqIZRvs61Vj+oIeB1S0xD7JPq4DTGrmA2wtZUHWR2XYkA4gbW
oIEMUrXVRs2nmacjSpiG+9jaZ5UuYm7LZYtS1H0s5o1vb2Gec5hX4ECNYVAf1Xxy5m2CZSdYYfcH
Ir0WiwqRkuUbpiaY+QwmPGoz4F/r/iRhDON6f6rB9CfmrwlzEzC/rBFph59hFGeCYQxkdCiYrzCj
BDa5wtMsTeY/kAjvxXaohgnwg918DM0bMwZ3xOWdeJkO6Ujravghld4FjbmJNMoeHg0WGqZL6nCy
GLsGQwQr6qaFRPeHG3gvcu83AJQKMneGac2w0O64zK830MDvkkRVk3zv/nkDEusE6092WY8VRxR0
sT/I6v8hKwfQZkIU8BhOHMK6uJu7f70ktCHg4i5Wb0MfEdAuLTgPyFrzSpGZX3ERgZBBAm67r7KN
BrAnVksbROeUtATtF1ODS9kZmRVgPbRcDC64Cn2H/u0fAIydiHyHIuD/68LjhO0Wb2jh8Ufh1PMF
uhKmCbw5weDd+5kB9hN6lGOjh2Ixq8HNEbgO8DO0kSRGZqXdtkJ0xFiyCwe/JGouuSFfuZI1ThSR
DxmG74wFMk3SP8QyqxCIGc881j8j7RoMl3TLAM1BjxEo8P705t9r1GA6YiRuAJ5pwDFr8D+IY9QD
g5mHWb8mEDagjWkKjdDkyF5wihXBluyKKiLUT84EFT5+Nv0EL3QgdvXMLyOPzXFa+J/Rh3AXyP8t
U+83hzmmQA4CAKUpeoEflgU0Boe8Q+lXbcEboBePPkl4w4Kar1fcTSteR4byfHuWiC8w200YeGQw
eYKyJX6ozCbIGTG/3Z7t3ty6hX9rR6l8OMs+O3VTtH8e5VAko4O3F8wP2rbd9rz1cYdOMe3ByrOi
wdvHB1JDVuM/cszmhLtReo9vxyMEWoHklFYjRt6h2nFH9PH2b9ehrwQUy/y8fJZWZF3yVP2EDhXU
YNx5Q4adohp1JLuv3sWYPnrMZhvMyOLUNl5b20Fh63tpMV8UDVF4isBYL9WXIYVR4BlFQoBFlqSY
zPr3DD0fMNfvOYH3ceDn209QMCMIhbC5w27xflPiXBqqAN301y2A+wedMkYTpJGLalV/wSezIBz9
/oofuQ2WgNpgkHrA74Fy+nhFZ+GaXyRfvnCk+1iMyxTuqjQDFQHMKZ4NKArIIajA0OWdRlfdJP8U
fX9/Gzv4927d8QTDHQAps4hRBhvAhyffOBqS6BjLZxkOcuT5qKaI/ED5ahCNaiTPAWZ9JKq5n11a
IeLASamqQ5WObFZ5msC5jKKTVeaqF2n86Lnt4Sp2SxDPD2NKaFOYaINRG4sI3bUW4syuEYo42Dc7
ztL5Qc01EoML0XbjvvPnMMIgNMaSfYJWZ7mf/+Bx+RjXUo4jHWAWnhpPy0GMv//WXSzqYTEueZon
TBfNDmiTMuB+mE6DdRvuo0rPdbCg94taJdu7OxUci3uoQzqy74qpBbnwCJvR/h+ZaaDCnxuNpAsh
0mwQJeA6mzED4bRFa4ddJxa504fBmkrsziQw2EZ/+IgfIlsKVgzoDcCaCF8QQ9U/HGMGBMSm2oE9
pWPNsbdGDatLg1E5fNq37s99DG/6insTtd+3OGLlHlKsxoiJr6QOADwGPtr/kzKd6772WYvxg1Ch
9vdgVvQbb4Xx+FNNzfdHXHfzzrEjCbyJGnZi7ooV5wUe9w+P9j5FwJBahET8P5MCbBUawQT14dFG
tGyTflLrE2a77ZFqtAZLa+u3Rn0badqhs7hi6s32nLDhf9g7r+a4cXQN/yJOMYfbzq3QSpYcbli2
ZQPMmSD5688DtXbG1szaNed6t2qtsdwSSQBEeL836PWxMCqLDpl8RGUzHm6+1aOpc4xBPcLna2kO
sHiH0eeMC7MJmuWIIeaqvNaz28C0eUhsNhogFHC3uGCCUQJ/g41q0RQU32mKHvdFXEk9qj68EjKy
U/52bh89FWaff90Ib97RkO0CPLTA1qa7kfk3UqClFtef/cZ4NxZBxexwJgLaMpxGnDRDmx3UbxZ/
+81ypC/pOp5pmyxLMF/eUlTNtIJsV0/Bu26wGCGAotrsk7Wf9nHT2q28Lfp76nN4djjwaQ45viZs
WZj0aCWFUUl/G/jIFFMQVTdkMuCFHO8puvEpAARe/H4qWaheu000qqQppzwseVd4i3R3iGzSHQF8
qLfI0ZxC+DE5xnAnHjjj8pT51HJ+x851I+fnOZGH14sAk4RFpN3fuacQ5zpK8FSagOb8PF71Q+bU
61iZcXqCy+G287aRrV+H2P/ZUSpXbdskzYWZD86E5JfdjnHZisJwr0GAAownFDXXr9AfzIOKB9dH
L1pW+bOL7UiL0YpfkB8IJK5u3NEywTfCtIw83KjYP3bDTikPLKhtZDxpKbtZWFeO2VrRBlAwstbp
1A9tvKrAgpZ0heyjheQipmzkZRiXVs0o/Q0vddMdWqjBffDzfnYBwycL86t9HSnk4uzfYgF0JyFq
5Ti0YIe8QABmKNYcbGaAEFDt1N+NUSAoYxTGtLxTfmUnT4ObC/BNt7et9QyTt5pXvuixSYwSG+dD
AcJ5YOPdb5rKVMtlHJWmubeUJe2dMLpQmts6qwr3EbtakRkYLUAle4dIw+mvja4vjXtWjGB49lrf
bx+XYBS4DtRVZcnuLprwwdzHCTxwLIhdmCarCBsJW64DEPom/GIVlOaepQ3zakIQDyrwLRp6paja
5IgdUoCrsvHCDYxJL/f3cUG54wT7yMiyPaA99Sb5TSJE7WnlyXLwMr3GWwtjW2QruGBILOjM3je3
ZenWdXAcojiR+VXpTRkUwHQUvRqvlBcLbSsNYWzw7uMSNPeo6yUi3DFWfJy9sEXTCHbehYlCc264
PudgGbfAQEeMEQyJX0xSsNpQYAP1nTdjnQzeh8oYgJyPDA5lxGsFdgMTe6jZdUWrfnbCyb/J7SDg
S3/+ppEkOf+GFs/lciDBbvNlGZrIxuXZb6lZHKzJMIJgPadeNmD1U6YWYlzPHfW6CB8w4XGE47Go
fJ7iGTfxderJyBOYDtaqDm7T2OD0vwsyx7DrI3LjKBxvfNg3SbRqokjvqoO292T2FIg4Nhbw0Lyj
pYy5Ycq+ZtZG9nNpOHEbYIaBFtDKbzE8A6rcwvJTndj+h3To2PqWEN7k2NbjDjEnzcakCtqGm7KH
KlV+sAX4dQOWkkdAuSJsmnULY5iWtcMhYQVZg3zrX8L9s2VZNU2k9/Su7Hj6dS2p1vm7VCrdYk7e
Z3ypOtkbD2UR6CnfHTGbDNaR6isGwEIFwN/3GG/yufr8qBICF83XpPoQylrSxVwtlxalC6T+unss
LI9s772VT7qdSzdKgQOMwWjpCgM7Cel+o/4cceLAo5Gd1lqF1ozZB7JMDzcdhvzQDE99Wg5JSXsh
dK1gc6BZn67DNNC3nNDTNeV2RpaWVfNPzZfYmPQA81tD9zx1E76XR5Ch+s04krNAebEPG8U9jCUK
0GD9+jxt6zjNF6QJku95sBn9h8xzY4xJXRVBlV/VAcxZE7eTl9ETL53Gc4LU0A9HUe2lMQZGTbt+
3eNG3qKZrLbTedm1Y2IE+PDa1Mb54/9p5PPn4FTb2XVgQ0rBUb2kDvwlS/w6afdJ6cw8dGMveE9Q
wQVLNh84gIsqWnnnjqoW4B6wl36GnXgEk5+BeaxMy51vogLf6OVhtIucj9h1ZHFXEMLjMVplhDDQ
3QJbFb4JfGM2AKgvLYgs3OUJMRTQzyTthDPauq5KX1kH4C99OjfPXXseHnC+ctrHB5Plixfk+uEn
f8aHdCcsCgZsJFzp8825gp8hHxcjgY4AM1Q6unnPA2nBbZu75CH1b7HQKPNzjhc4jK6ul/rWzw1q
LGrhLxUGpG6wNUxkbOkRkCdAbydMz+anVUItYLw603brTtG/yQjZ9Yvli5LhQ7G20A/f4pjm33Tw
vvUvtEf9BTcd3C/WeWnq16FYPH3/5YAPtHoccpGLZFcKqM0PsnEs4Ryybg6s/tI5j5UkxeM32L82
OVXdltuZzvxeVoCKi6d1krHOjxacKPORnVsajpu6MfoSd9ZOxFzcSyV1T2rfNSqQHMAA6OjMcA0q
AHM43qyvfC+bBz8NdxmbxWm+cKIuR3WMta2JpVceuXkxYo8mQAahnuJIAM0SZwsTcqbh5aeiGfhz
hmftf/JMnISMVYPqKT+NVHMBBVSbcnVLggE+aWdfTgHxvOixT8Xa14igA4YKtxVt3hBu84IlFkd3
owQFByxmqZo+whtOmW9gcVdZdngV3lBekG26GyR2CfXX2e1cxznUqaQ59s7LO9MQnUCrd1C94uXJ
kWGl+kc4aVL5BwgB+tEn7KZoIgcCTsYTZUJ13tZfTE0N7oHn+TdrqvWoAa/SQ/ysNAm7TPHT1mDr
5+2TxNY0fgY4n28SRCMGPvYLFVkSJTJCUYAsZr+4doD3+YRP7ZdBPXpDh/bgDLIslpdDBx9KSOH2
UcTNwu9YziKFmGM5tPTGczNAN3jZHH1RfWYVAQ45wIR3SWVFv0+9qxLkSoJIBqZKx4+pAJw6wGGa
mbOebjzMhjRUYA9hhmopzak6AGXPOU/5UbE9i40LFXe43p4iJ9VyDgjnTD9BFjs+pU5grDneTnEK
r3fnq9rLMWuCguK7MG454H5yBS5XkAtYq+n8xXAXngrGjF42Ci/WbU691WLwnVsy7aF6nJzETKC8
g+AWcXCXLYMyHlo206AKC+QA/xPzLePLUPVCC6SuqZ8B2jeZDzuOlxqlyqlEaywgKipVf/KjWTbW
F3fK/fzk+4SvwEKxqe4a3yEcplMMLB05ubfqyDZojHWYW0H7BCKpsv6dKZpUoJD1ZkdO9ypgb9M8
R2MyNggYcGZtYYUjQSiitWEvXfa0uIPtVlgQ+Bw4VlgwVOwpg8CDATgwyos0stcj36TWvwoUGr5p
8/ok577EtQspDfxhR4sQ4heVwKuMIYKzxahj969f3qQr9Cdgo9FmuO3r73mWiUsKrNZZfzB2QCeK
LSd3rQJLsDHmVRbsFuPT0s8WFi1nQQR3pf/ldci+yhO8QNcWOvYB/ic9nRpi3U7Y4wUry27N8HaQ
gcBfFe8n6PEuVkqRfVRNqd9yYSwaDuxQ1PHFZVvWHyHzM75dE6XWCdxS33n2wqzHrkxfyGsjljRK
MHT2+cRWJukSaIIpZd87DFX188Ec1L+5CS0t2zHyRoOQHWZdrrspRNFU8QoiKbSH4YyN9wq943iR
2EJv4ySuUMYDSRX6toaXF86oMtYRqKAv/P/a1oLMDRwLPSaDGKe+RBsJU7/AgynXEo1zg4AD60kv
C32t60DQbKSX0nZyglZ+fZh9c6AHy2F+YARTWQX9/xusLHuMRcGr7Qfst3zuOhBi4m1QFdNsgyib
m8jPKPyYNPref315jaP+gLPqywP4w/Y6RzW/xVkhpleG6gKgqvPUmIIB6/aH05n/xsjjDYDO22RC
reZaQFb86etj/Q8yT0USAGV2q/zPGDGzqarWTR277g2Rn7r3I1wm+DJgkc0ggQDFe/I6Of76sX+G
EDzTZPyEls6kDDDrQ/z5873Eo2MD36biQddi/E8J5p5M0VQp8dNbyDL4bTv//YKIrgAOfCw2ABej
N7hiJlvTygszvj9Td0TGin8MXgRKr2/2rx/Q0rDdXx2rnxDsFu8xqMmY1VLW+fkJpzx1Rdnn/v3r
jKFg2vIqzdBfPW83uV0Ip7+Ol/ZuUDBiN8VQ6vn8RahmdIvLevSbO/p5pHNHHKXCiMULfjvVvrcC
wjkyDRXMTnOfn18qxb6Od3waqGY3uyQcE7qAEtfMmxmR9sMdNIbUN0LZsxkW0iM42e88ePAeSzmi
nRnBVd3wcYDJ2Dols8N5cq3Oyr/6PM3++iHediMdh4+u6VExsSwrfKtHZd1tetwJx5PsMj0zLS8b
obojMOVuNsLBJcP3T7X77bm/fpRG/9P1PJOO1P/zyU/9uReDid2IHZrD6XXZm0goSFdmxcxaoU4i
6/bfXQ/In6wrno/yI9Fvb6cDB4K2hatXynKjxWtsknVvBFnOe4EDpZ7Hf33Bn+cf8NmI8pPLG4hy
3wXRfINnQj+bknbxcNwoDQzi1tSkA+eTj6vvb1/Bv1+KrqOsicMOJ/3g7bNhYFHMg/DF4bwVGT3Q
EcaR3Whq6ctT/c++5nehiBRwAeP/HOF/s6+5ab+RQfizAcTLj/xpX+OThYr3AhrVszfDn97cxHH/
AQL04gNFkC2f+svNxv+DSZXzFnRIJOM/2jm41h9wHvUAQ0lNoRnb7v9E0r2+fr8KRMQF6s206gED
+4FngwU7TGHaUufHRSzrhiVTQ5Tcpsw58AccEErqBiLj4BzXrnvHIQejrCo3SbuIYw7P+PJDyF5n
8Vip6dQ4MNBwdGxwsu6TrHfu5dkXBVDTyEhDyVoM58cyO4ilNNVtnzfmc2HWCoZ30BEOBAdWhhzs
sLMTbNelnYXjvopcsQVnTS+KtLS+O6KUoH8a9DO0e/Dkh+IiyEiQqSqBZXcf5PceLIq9IEdj40S5
eQN+jCATmGcA3IQhSVpSXrewJfDrf+SM9gWIRm4KD3fW0omwxJVjckzIYryaMjc5BpxuPql0sLeu
WSO4aEtf3rdBmMlNV03z7TiwfdzUNoFbW4ecK2MVDksP5b7J601kSjx9YjLERhSwvVD+F8C1/rEb
fZme0IEYmy6pg5ukJVdhNSeYIaxzf+bIFsDlXsXRhAimM/tkhuTfQ62lJ+YP8VyVKx1PMSAeicUD
1IeYQzzQbraeuf0jlp7yclHT9MFNEsvb++5kHkXpjNuILMpyzamwsHYB5g5YjydO/X5uJ/bmnBZw
MA/G4sLoCJxaGV5YD2uU0uFNmKkAklzuMiTSJSFMI5hkt2xSr8MR0CdZ5WPPqdG/5Ukgy0OlLaYN
FLxpk5iDs+1MTL4KI5XfkYNjuimS7NABeuxwASXVqUkGHAplcNcsLuqiUmZiwy6mustAzC/mysUK
smisO6Qgagsx17+I3WDmoNp6/rMCx9lMXTVQYbDQVMi5KiSSKFBJCnSlUV+5AoODa7McKPVe2Jmr
CICIcCAOwy0N4dZ4acuyvnXJc6qOpN9ZLjzBZCZQTVJdb1dD0eE7GmfAecDurDJguRaQ/aZYaL27
oROa5WONAYYAZaJIJJyi+ilvIdyskMBqK6jIR9FhSrgbzjRpipANAfSC2gvme34t5HPRBHO9hrSf
BVgpz4VxNXqJ6LTrHUoKI0yuxrKXl35cqs82bq01PDc1kEnFifQ4iVl66w5+K6R+sCd5wIrYrg7Y
HuRkt1hzb60VkrL+YLZFAF6TJLfJNFtEZzTkSa2qFq+HfRWHATXEek6gZ6UE6a1JDhnHK+ieA+IQ
w3XWlaQ3YUUVo7U2WdaWVUpUqrj1S5NYmLYYiuB6YudACpOnz5bBsJEC91lGnGuMJO3VIfL2IDmR
LpWPuB3FsDTZxvntpshD9cFOugp4dWrEhSbeLROe43fRYHw1lqjknTL8Cl8rCAreCSuTbtn1sGSg
p+Pl8WGKK+zvw3mQ71Cd2tUeOXWLctPEOQo5A+yuAzPR/ABheqqOlFhxO0/yHDwXv2BbHYM0do5O
VbffleE+egO27w6USPDCzB7rA6mVVnVsoettwtqwoGp05vXCDvcO+hjvI6yrlLqwYDbzBmQZBDql
KGOc8CLFvB0JiDLwIJwsbejtwFTdcKVsH4Zxt80tgRgmoa+qnaixBaby5NwZ9WyOOwdYaONHqX2J
U3W0dcIUr30jofQEho05HfK+ZGM6uc7oyVyRfmmbAHEpjLhH4O7xY4eHf7ttK9flXYMltjHI14KB
6XOubYVw1zll7m7ry060l3wAM2PLgNO9AjisZ7Hyw6WQF25neBA2ZjfwanOVzjjYbKYByYiNvYxY
eX4rCKEZaxQjTavzCPpCoQyt0My518hMhxCfzzh/Z83CeRrV8t5lCPfAABOcRCpF9sEPVXDnk4S1
EX1MJJ8tMROISkQC5dLb29ygvLJGhTvdl3HnnvLCHpAHYtdhXWMxXl0vPcl2+7CpoIv20wdCEwF1
sTbBsN9K4jxcj6PZo/Ed02m4xp7MOi2z1d0XsP2BOlm/xJ01jXFrr0gGnpf5UDhBH3jolZDcxRdw
2xVmAGFm7f63n/rBHeunCPYfN0dUCEOOUf99P3WsFDv8v2yxXn/gdTcVmX9YgCuwBDAw5Wihvr1E
S0f+H74LowHKh67mchT/ayflEDUOL4zFkFIKP8cmmkVBR0u7hN36HN1CzrChpgX9K19A1/kZDgBw
cPDfcnyb+hqFU+yNft5JzUXfj2WQhBdmU8CuTDsM5zI7u58cL3suynE5kmfkBiQo4i/CRBFnJ8cp
2o9p6nc1saydccuhnfdK1vN464J5PWWLHbuXTTJNX2WfpOKIJLmJ13E5OMa6QRu1G+B5b+MpD55m
r1d3Q1s7uCZTr4kvZBrmz+M4e1ecM8MnSS5ZyyaoDQsqQBC6AT6nAm8WdZQRO57RG/MthN9mWDHl
eKRJFo7/jBNF/o2QZzzI8+WE4mN835NXcp/FxrBshrGOv6PlKG6E8SKSJZtwBgX7iH9989mNxfh+
EtCtbYyuvxM8irw6Eh4EgnYKbmufrNbNNDvdbeqJ6XoJ0PWuyNKYv0PlM+6wziKhin2JOI2GjW7R
rQOirrqQ9RijG/fKlmmG8hWVfAR3b5Cfl1qUB2Qy3ZakQvnRwjV5gj9RhPsu8IABo8LPH2ZLyhug
tKNXYSaiKTCCbWMUos91x71ZIV7fLEXhPxTkfkDywW8jWM2ztKcV1rYDZozsCMQGLnL0PLNZrtd4
JQXmWubjcAmGCfcmzpqLIc7SbdrhcIQgpyIIDm3ZZYuIDpH+TPqAGdXMLHMVUTxGLH0/BkVzYEGv
Dplhdl+kEYc9+v0ix4oY5cAD/of9hRWEL/ZpNE6Uo9Y2SEC5sYI4MFehWNKbxJ8rgsuwDP+QQwRf
+YPbh5ckWwV4gi/zNK1iEUQX1M6Qzgli1rZ5V7Y3JSLxNYrYBkqWXzcbV01st1nb+4s+LTgi+3IS
t2Fff8fteR4OZr80iKpJSf2OXppcGMAN7BkTd+m/lq3jG4c4DvOneJjS4+hglAN6mjrHuvTHzxQj
QiwK2pGVsMQn3XCQpKRO4+ysKnJg5iWWugE5F+lTYxKZOuLXGybEzFkkOff7wBqTezUH2KZjdWHl
z/Surdy1LNqEtp3ckrjyKxNPlooAXj8oYgQ5TbQhasVGNdWPHymo+8dwtuxHEXIN8gY38DQe3I6M
FVUSC7IGAR/LQ0zkAHGYcbEqeUPXIxkMF3PvZruuyApeb61Irtp1LTIOMqXVrrAdq9jy1sW66a2Y
6nI2rzCKt7fJFBHPJRw8fjLr0oZucA09P1hNlQv9ITqQRuBdLTW+BnhjUSczy/ngTw3tPgCXFNql
Nt6UYcsIxHXIRBpdzf6m60j+cNo42oE69xd20RbbJJ2DozNF6mpwiLZWTZHtG28YWJPxib/0uwbF
eToU93Bx3RJpm88pIS37eyPq7hbJi5lV6XdwtUdto+HnYfYcsonYpD5a9oqq3jtjQCaQqylYdyXK
mWTyrAdyhpi1wqIkZK9zoSD4KVquzIYPqARLsO32yDiyW8ctnyIXZT21xJGMFOeQ9uLe90u5LSrs
eGKSHtdpYsJpn4haPLSLX6wnDgO0dqXemY4jN+Y4R8egcpetnfvjPrRT+96vUVAxPWXb2W29Y+C5
xdaHHzytBPyaay/KzG0zpdPVXHjLe04zLl7qKMhlRt1uqqW8CIY+eEfFY7islZ9PTFL4UZM8wNyx
SrzY+GrCceSMkYnlRmsiV6R7prfLyNyYiTo8VAukwsGIiMez4JttRSemXWwvw7pHM7KmKCcwYcma
00s8UNAW4WXW2p+pyaH7xq1gN8XFskIC1m+LTmfjOjTKncplto0Xp8zXvshpbdtJeVFDI4q+JhxU
aHMHDJ1O6Ke1JNn8Crlad5N2oXoeIXRsOXUv+6K3za0Z1uUmdQNUn11YfKCySIAWxsfzWtD9HwDJ
UUoNxsnLpvLGItJjM2No887GtP17N7v9x8AS7kMA1nvXNFJs4cqZu7x2h+uRU+8R3idWGHlmZFtc
73ImXZkMDwnk34sQ8eVndr7zAX6BugKdKq9Dq+7IpvOsmw5uAMd3okS7Qs0Pwir8kBOjlZyQGfZX
JpRoNMV5fDAlm7IR6+YNTCCmzFzcWFGXHhICsm8N+CzoZgk+JoDdERvCcG0bUoJc4GzVSG6w7j8l
dh4/Skho0P+hN3+aExsuBOLB5MpGFnbo7BgDn8WavhTwwdaLUy/vHGB1jkMpYsM8T8h7CprusRHK
vlpkrK4WVWHIy8krZbw18h7fHevBFqMNXymtCZBvehDduZfv60brrxbix/CWIwSViQlbyCSdPsus
yd850g3YpfrWtFWoBdcwecmEYlReoPa644iNXYNoHavvP5gN6neyo6AhZOaHmbT78lBN+Ne+dz1b
pzjDWBlYiTIzTG+WSo64N+BCtKW612xmZ5yQccJBew770d/GGW5HFEuZglH6WGRsadk+hJthr0yc
i6ap2SeZwjlAJPGRrsw35Gfld5wWCd8og4tBGPWm8dvkzE/8H974G7zR8yK2lf99e7z+jCkoVfvk
p03y+af+RBzdPyCrEWOgbR116N+f+2SNOIJJA7y7ZzNtoM0f/LPZPeC74eIUCxkX3Pp1n+xgOQun
2g1CM6TWQcXj3yCOb53ZkUD4kH1RLQUOvt62qysEP1TNeih2dTMM06lUDtaOCj3hqnIgNK2zQI13
vuHNFykO29nWNLP+Y1+542PG6kx1Niqb9z+03j+UI6y3NZyX+gdLN0IhE3tDDfb+eDduSbx3JIfx
xLxknURGcMFqCCrOuNPYwy8alTt8DMaa2C9mbbADSpYcXqE/BS4koqB8jvoetJEAeOTBeW49UuYJ
rf3se/E3rJ2t6XxyxChefKv+4Y7tN6i/bj/NX6XsRp2ZrO43gK2bYPDAutGf4BcKws1hST5iNB06
uz6YK8Kj58lKNwmhu6iIfQSmc2Y6+wI1o4WxRtU/y6nrLBJkawJ6ekDSFdEPJhvt1ssgHlWpvM0G
/HmQiXcb6jjRUyebSxiV3rTFX9e/Tlo5Fvtf98Pfu4EDmhnQET5jAzL0z90AqocMvM6700u2XiU4
n6xcdhA1iSHDdKumNnqoYyv/8OvLvq1GYeZCgSggIICxyB/6tn4Yi1iGCLfuRHkqw8U6wRcbTtgg
wsCL5dOvr6TLPj9WL/WVOBYihkOuFwXhm3FWl/ANGhyKTpjeuZ8hDJNRF/fhbK+yWm7NBirTmgig
sFpDqFTF7wbN2+IpT4n8Q+d+uD7ezW8vTzWBIE3texU0mYfwbCAPItf3AIkRGAgoZTWbdP1e5Y3C
0iyrgm/4MMA/jWb3avJxUiClLMUjKcWnEIwJPcRGhvP8rTbGemMaSwFrECOz9kCy6DL8pqhm/b2j
KE0ybVBUgyiPovDnjjL9wSs9NmLXJEIVnxPkxwLAKutLzh4z2p4LJZPsC5Q1HOuWBmoP0shkbQPO
fu9JcK5IfBQBQtZ0/JZACHkePfLBL37dxVR833YynHoGEWUbRD+8nW8QAL8NExN2l3OdurAAonDT
R1LnQE5OtOvHYYCO0ph3YzF7A+7CMqD0Ue47u633uVujs8qb4r7GBXtaBbkS71VaVMe5Q55ae039
iNtYuGGPHK+HKk0ThAtOqggv7sqTqo0OOToQnxBWlK7wTcCK1R5lcQDwzO/tVNwKXMYmsteC5tTH
zbveLgxn44/4zVvJbDM3uMOyrEwVple59MKPsYkHjvRD62pBRBqtlSnRAjPmk6MRgjCs1BwuG0t5
xmZJp691h6PbAFkGylzRBzvOVcMRV2X7XSPxC9/HAbs6sk+z+EsEvR0jmLIxPoEcFxtSIxFagxce
rSbKn5OxBueunSJ7SAg0ICsJBe5FG7fDeqYd9pZrRze4Lk1blL/NzrIma9wSk0Ui3ch5o+HAIbHd
75wWb5noho2xMDeQmvoDS42t1lAafRTSQf5hKkx5abdR/eDh67EfotSwocsUy+fQr1rOclO67MYs
FFjsT+ZnCOPqO0ayNcG1dm8Oq1LYo9iBVle8HEptZzEO4a6tYrnJe6c4lHwUCojbVjQ0PoTkmKep
gbuECjhceBNJnD3ZgU5vlAW2F9lWuJAF7hSipk0CTStfpYykfuf0Kur2kxNMV/7Zq39ga4lzP55W
2sdfnl39O7BmbcEQUSDJqq/2fI4AGPphIBGgz3qcWbH4aJY9JrR9jJtnglgrtfPqwUQbeUxnhyTK
gT6IsbUyo4nuwiFuQ8w462Gfw2jaoiYU5rrNOeHeyIYDNnjFHCi5maecDbvfvSQYqHOewcBauPNf
Yg5GXh0yD5qXAATLQQy5K1+CEZAuY1yxnXRJ0TiXF+cYhhaWvTH8TRnhgLxTeUDSaxezK9h5pSiI
HVs8ZsySsg6lKklyE6aPs+hu8RSB+VSJJPxuDGOQmBuzsnssTMMhPHkvoG75CvGWU9eA+HZIZFos
v4QMIK91I7G1UUthcjeTIDcfzK4r6rVnY6OwDlBQ5fsW6rqxplvt90ZdgDRDBSBRhv+bxg0mUwY7
+b4s36dFERVHpyWCbJtBi7pfht7BohBDEutSKtmRNB5IW/b7uB3r8oHF2LlAH25nu6HmDrZVn4uF
8PBpQdadzrW6LkJcSLcGr0qLv601XLSkBBCGFzti2ATwHOpVEnTsT0o84JdvSPUjHxeqHocuRDxg
65aZuISoYkZCsS5rnE1SJfFmAazCW0C1dQTLX6Xu2oGatXBOShfj0oxzd2fVMT6MgYyCemshTa6O
EqBGbLPIlTqYA9MdK8IEguEjoKxMKsE6B9cn41OL6wFFO9CZ0D5Z1NmwHA5H13DezTnKx5NfR3O1
KTn7XntDyZIkkEjyAxFWRM4OyYVVfkQ8U8qLBlhz2nXKW5JLVF/9Oze1vc8eZ2ccDwD7HOinuAVv
yVgk5BablxTExUHutqY0vE2QHHzMlWJnkYp0fOg8X31BjOvgL0UYLflglMgxEIr5PV5eITopdcAV
Dl6Oe9f1nvXO6vFpWikfXQsY0RxMWwjOKVHrGKFhSBiIzr5JjCB6OgdJAxuR+hvknexuJ87Q4dps
FH0jVcmNVThXWpesYNETekZGd8Es2W5CS5epENjE9m3a4k16b4dl5B4nN1XDdT/1evMp5+nWywyC
qipVcOmqWgjIneyiX/ZmFuiH17eumJ+4L131cL2Spxga+KmgGBWJw1E28urUuciSuxJFBoXKgV2B
4N+YU+2+lDeN5c44Rji1NOlu1eoSiiGRzVLcbTBb09SFLfl4uBHzd6wBeSImkCmy9D65L4snzKei
C3hQCYUgTHkYF/BBP4Oy6XzhlhRqp5/M7lKwzU0vwQOz9CFktdhTh7ZOTSSaj2hs/UYT5xP7ogpF
NFwiosb5Y26DBos46Ff72qZZtQHi/DXLM+92GnS4VoN1fPZe+YXoDpjOFd8hbes5JGlygs6oGDjb
BI19t6sRqr83zLjYFYqAF8wGmebmVsn7BO/oS5y9UhJX7daGTZp7LsuRtKMnsl5Hsc3tUqcjG7ET
Hd2SqJ9vBRPyfBFaDKktfqGMkdTDpmqHcdW4ZZEhc89qB3Jb4yjvR1ZaZzTZejfppzbCjNmY2aZf
LFHfWs+YA88doRZWQGlf2fyqqbC0payC83Os6Ra1NrC9AGwYx/56mgMsmcauQbXbETOMNcRhUdoq
Gle/btnXeUbBrPQJ0zR6bI+2aPaL8VKg7pEUV7tCvmMnQmAbLuD4RQdJN64y2SnMdtQYNqwCc/OQ
Y5OYfLCqxQlJfmYHNj/WvUNtUjbYqG4l2ipxYcS1+iIF+TUoKjo/OyZwpu6mzogJeB6wwdgmy8Ag
Tew+dW4noqW9U+HX2u6wHk3/2rUkEreZ3Q2hSbgzYmweEv6LL1tQMHd0HWDw5ExEEubYmu4XhHHc
KhSCYDPHWDkR9d35zXsMaKx3qWwZa6x00RNjvehuy6gkcmCw6whOOeVINInDR0RDiG9WWTYGjx5+
iGqjcIh3MazNw/EejDjC100worf1S645B4d5ukqcPquugraWzi3enrlPNqF27aJcY4jrrDVqtSk6
TNJW7MaG/jrPY+6/haW/66RmkqjJNI9z4/Lez74fkLwdy+D6ZVf6PyTlN0gKKmlNgv3vUMqO803y
c/LY68+8AimhSfCYbcJDgGmFcEYfml4LjmHwB4dUMGTSXSwKf7oW+QqkOBZpYxYp2xClHF0H/Kvg
qPleNicY+Igc4G0/8v4NkPLmsEEegy43uha0ev4TvvXPRyLB4FnCuhoONh6y/TrPIrZLuK5HV+6A
BmaFPWh5lfmIxzaRxNTqh7b6BxjizYGMpRC0JCQFyMQrCKBJ390PJ2fcGRfM9qd+rwZ73AZz4SNW
svPNHCTF4f9xqSj0TA7PGHy/9Skh3n60rMLr967VEiRgUyR0OkKcOeU2/4+noim1LwrODexIf34q
wN8MGzu3J65gSthwL82m7bH87qfgd4kab6rFLw2IANuEwsmgQN//86VAl4Ys92jAKIHFNZLLjAWg
/30a/Y0o43RN8QG6cAy3C8CgOsOr/xVE0nDKD2jE68W1FwajGMbem+fsCVGPnZpymlG5/go9idyW
WAr+O64vV8FzwsKGAcE1pidvucWdCJ1ubOJh36KUQnNgl7gTelMTjNtUJ6f/5qHeYEgvl9NcXxu+
JMPkrdmQ14y2I61+2IsZkgnFnW/Q5L+T8FmsYKrDoSIp99cj8+/NiHaAGggsX8uFrvQGiotlliqK
oMM+NT1vjeIrp7Oiavvrq+jO+LmzuApnWpgTJqlBjn4Vf3jV3CHGe554372TjBRoDeMKZfUNBUwC
GMzC+80z/VMr/ni1N0MD5Bj3fYwP/o+9M9mOG8my7a/UenPEQt8M3sQBb9k7KVLSBIsSRfStAQYY
vr42GJlVKUolrqxxDVKZESnS3eEGw7V7z9ln78vJ2MRQ5hNZ0YHI1xStIBjIzC2+/fkDmmvz6/0n
XJOBHDStuAneb2UqLdABTdx2RuraBLHa5WMCzf8IItU/MKQvorE7e1L5YUfW3os76P4JauxhTPpm
L8dAbsfZJM138trv80xGsCKaa2PGQ3e/hnOAxE1Co+iWDzYm4zffP1ArTzdcZ5Vhv19xvkhcswEf
ts+guxQbW5uQ8c2zI7dEPKx2J6IUWlx7DKSKloHlbH/VITvejobfXnt0wsOkTYIbatHkg3vB+e1b
Y39e73BExu8bqnkA94cj8kD3KQUnmDoRbVtYzL47oFFNxCfcmGgnJhcAfVMu9Qk7eH/JkVsWUTUP
EnAnYjZbwMQFe7exOP9FcY1OtzYTdZGMZn9NwLN2RDwMGQguYzQhEqPq74PHkcPf4wCXOgw4R4a9
rXk7ABjZRlq9T0L5fBqKHviOVjIfjR3EGyUoGrv4RBEmrgtbWRtlLcWut5hDTtpw0wRkHXYZgZbK
Br43x2V8SRL4GpPeEQJZF9pqdnstlHUeAKsBkUyKAzLX4YbfXO/+vFp/vUHwN1EYcNfzDCb4++fb
cRaJMzrT+qWL9JrJY0q7WD8a2fyAJLjdjiMxK/+LV+RkganJgXT5Ps4t6GcJSboY9n0cHw0cJigH
vwe1fdlb9Ek4AXz+8+v9+mz3HY/dBjvsavF5P2EQSSDhko3DHsVfuzGlPR0TwKBb3+w/wr/8ukx9
BsKuyaQ7YH7/3sKQjI5E5NPwFPSlc9FonYFAbPQ+uIC/fRWiCylT6BlwDX/+ynApadWAM3Kvub3e
b8ir0A70KfzbP1+396MtnkB8Gh8bDdUigv/36doFPQ+DdgatutloIiI9851LSHrkCqgWNmmxlBQs
fN2z6Gf6Txwp941dZB9tS2ub+eftlKEfsntnNYQZvwCQug55BEZvcobQhW0n+nk7mjrDzp4G5PaW
vdhHowZ23+vNj7KZvDNRi9M+cXR5Bc7NOtE8/JBg9Nv3tJoWGEQF1KzvHiuJrWmQQy2xh8lZH/Xe
2Qb6yAG+HrrrWKA3T72x/VLS1UAppambcQUcElGHc8on9d6ryx94fOV14c/RskxfR1q1YZcN7b2C
j7Bph8w5OJjTT7UitUIfPiou3qf+vn23lPsG7jqofngyfl5D5LsElfInLmqqzknvtbtxspNPKbtY
2CK+jWJh6GHluQNPrL460SN79jP4Or0bHMc2jkNwxHJLKyW4a4jbfvDt5cfixICK/DTY0XpQyAVz
bRUvlBAhINh+sDrfzYB++QTv7oJpADCdNErslZYnpxhp9WlwZmQhmh4NCPghXxFDkOc6cmglQ9GC
Mf7zW3iTQP6yMvG6gBvExOe9v919xV7C8EOsmP8BgHnpO98oq249W9REj+gvyMPnJwT96XfGcMMo
kzBvzDQiXwiUdCJ2Jtn1UY8xZs1dmaqNZ45tiH1E388ORGE038YPVRsGW6V371nIUSAdRa4WPEHl
Jg9GOvolupPysDTNsyf1e1fxQkRS0Aqjx+58cM1/Ld3AQiNyx3jmrFjCd5fcMX2M5zkbQpeXT3W8
92ReRtoCKa1ZHOuDOvE327ZLyc3JE5QUteK7E4Ug7qvu2XT2qCBfA2aYPLVlvrFpH3/wSutvevc1
8krrBNpmFK2/L+xBNo/Qkx1WUp88EH+QPKGgI9+rUpwmgKLRydFdzT+BgfvIXvebp6+ro/VFX8uD
6Rd73ZBkHeENZKiNeE8YoN7OXrcyhF5Lb/jGkdeN/rxk32rPXz6rQ1SoAcERj++7rxAUvZizjCXL
Mbw+jxZ1j4qtSNWpDEGM/aBx+NBk5RwlqqW4QZwUSkT1kU618ue38tvFBDiSJwtJh784tbJxkA5A
E7Gf/GaI9FUMazP5gVXQECad5q9/frnfPDRdRh98zQZnbw75P294mA+KpIL/uFeqn/cJjMxwAXvy
wRnxt9fXoJPBSuLyItD++WVQyCaNwRB+zxkZbZucgdPX+NDc2NeOE0O8MKFRDYu3K7dTnFQh3YCS
cZF2sSCL/eB+/fVQznR+Tc5FmeL5zvv7dVKjs2CE5c1IEucYGdOp6xfSjBT6vYo4iFZU9T5F1ElK
8ah/cFu9n3KvOzT7osvFpm5HwfNurQ2ks5hWrfd7SFvpt9brNbx2fTLcCOxcDFzdhkyvBjAM8S0q
QJIi3a50Ij1vUYRhJUqLcAJ6dCVTi/AMcxhGIyTQT7z8eWX8ZqNBS4+zn1ufOuc92jJFj6uc2u32
7hz3u9Gms22jsd1Sy2cfXJLfvBS9YRvphEcbjqvz8+rIckNAMPS6/bDE1attKe8OQXaF38nV/xcf
ixoUdIG7ttR+2dXaul2G1re7vWNm/V3gGO6uUV58kffD858v4G82MV6JtgglImKG9+dGc4kTjFa8
UmbpSRQPdXtfJWRK8nRjAj9X9sZuCOz784v+9lJyvrbxSRhQF9/dz0mik82WOt2eKY0MK2dGsJ1X
ZoRzT3zwUtCVf31CUCvp+FfRuljsWD9/bz6ZImOyGCwRm/TanasUMYRZak9LxAhqFbT2woxcavIy
7Cw5aTtOjuO8XZjfVXeVj5dqm1n0GI+xUOWj2UqmNmSg+IQEloTkbJAwpM+kemtXBTwKsUvSMsk3
Aq8eISB8JCv0XESuUSCdydhNyH/UhaOlwT5jcrRsEapggEswdz24o8kMF4ujY+4gos3u1iKZxPwc
kPJT/XBJekUi0XKCSS/mlLS8FSXfp59E2RjqWIKaIiUvMyrYHnprnKqF5v9ejIUU105Vj/6VjXwz
vnMFI8wd/6xNzJmIu5s3ox0UkDuYwyVXvlc7XjSSRgQRyOnKewmzNT71tdYc4DMiSlNJb5LPk2aP
lXAtojZG1CxHgCZJG/ojYKGdKtAEbyviIvvLXHKczEI3aKdyL8QUFBHzIExsDbkw+kWlMZag71C1
ZtRWzlpcZRBInz2GOGrjxeiJFx960H3rMNDcMwfL1e0Ue/KeUK9+2JLKFnhnUI0+0lAlk/FIETvv
On/GzmCD0YcB2ybLEhL3GOzrnkfUtozX9h+BrwGQa+H4nwDDl+FcVo0VCvLPDKgIrXOo/PGOPu9u
RKLzRART+bnUfP08wN3axFU+HzRMjlurC27GUhEyL3Zz6tXn2KOJCnZvi4Iv25t2McFQKCo8ghIS
qJpCsxXPeQHnxxnNOBrz2doxYH6xLW1CJ60E76H39i6JVVvcMO7eDpZmQ8WM1xGr44Ww2/mbNzAZ
QqKBZdiTz0vnOgdpoeKQsyIaunxEeLl1YfrcOgG2YAIJs9sCa0Q46plx4VdleoVMpCQvEfWOyOLH
ebGcvaMZd1mG0o2pbnyMAxtBdF6MFBXCC4lDR6UnvOUOPv2xG1DSZws5ANlS3BR0l+bJ7k/FPJPH
qxcEHA4o2nNintBSYlKYEMxnfLO3sW+fGd3OW2Py092y9EuotGGMYlOZYGxd/UzAXPu19oV+Waee
H6mhc6NZH/pXV+vqUBsQefk0rPde0zjHvmTK5QHDOoJ1M49CAZGhSXEyUTtCsTF2haM+VwyJP9dZ
fECPfw887TOD+no76QGNujH+XBFO1XMHVv5Rjl69kxrprOhFHorAj08itogiThp/q+e2xvfQoZXJ
A6JBODecQcnJ2y7p/bMYZ56LlrgkUAoH7Yy2QGlkqnZTe/CtITuAHEKHU/ny1RbkZqhswoITFTIb
FoWOqoN/ztHc1HsUAE0WkNjYgHbbmCyep8rUrTnygESQrjWwSeTJOH1pufbX0Ewz2iNxvcEbeNRH
ULRaMzSksSz+Bf+j2c7cENsY370Sl76akkl8IbbKE4RJ4emaimhB+PVFM6ydnid+stGYYrd7TzOb
77O3FO3BKkpzjCq8RYQFNmh3LzXNHfJN4fkArEslHe1Ee1YXNGk7RAg9VwozaF1Gi1/Jh5Su/q1Z
5uZDXNVFdpxyt986qH+ujcn0d02GH3NDzNN8SjOhf3P1mHqS/m679Ra9vGh5yH4fQEK721KRhZNP
TmZdzrC9721ZxK8Bzf0xpApgotnGUo8W5c+fmDNVr33b45BQlTC+IsfoyW1pnZugNts1JGSKkEOo
/UDF8uArO/8iBb9HaSVahsHsTssKXc7m2j6iZRRPdOEYg+TYjlYBHSshtYLuM3TN7nvX4sUpZq37
7HXk2ZA3OoDyRiCxy5gBPzkNchFUVtMUubFTDdG4CG6O0tQcBuJ2ESWu64Q5BdcRWUQRebSQt5xK
g35XcG6qDiSk8fcHEpEwCU2rEMfJDIiwyRRnIfbiLggrRoO4mtJyXYPadEpgxd7rVVpuGo8h/w4k
Tqs9It/gI3qrzvgiMRfeqlvIR2nO43QFKDO5yfzOj0i4X66agUBOO7X5rVab7W09c+/lYDrLhkqk
O7l4VW6Yirdfad2ZWxpnDrYAblXSqKtlt4xzsQNFS9YHeufkpixbCd/RSZ0bbqKOm4pvlyZ8dyqq
AERRmrbfepn0JED1xoPIuN5ZXihiqmq19yEeHjTMeKTImN1d6/TtN/JX655cuaWVUdHl2Z4rmx2c
ueLXash0jd7uTq2RB5eLFO23QbX9Z5lyXRfP6743RtJ3mwWwPYN+IhVPZPkpRHeDeAlwyNzYS6eR
k9AEyc2crVHDiDcq9YKSyfYJHjIni3xmayIf9tLgsYy7ErJhqKXAP4luSfOaHWqMxQYSrfHQGsq5
gSkTf2rBHVy7zth8dRO3iAZSk3DSoJA0NtKniHRGy9wmMDFPivTdKEE2dtFXfHhiLeZPpDKwLyZx
drBafrrVteRmDDpcfakPMnVT6z4TC6srjyDuURoMAU2cCM8E/stq4C9AmfQ3STKVQ5QvbTNuFu5z
2li1eFKKprXvSfHiJbYTxrEqj0Y/rKt8TNuRmYvp3BPdLB/tZhjhgza8ydLRizN8vPbZylP3XguW
DnhkPaU3EPpqYyPsuv9cdst867tifNTbuThn69dt9rF/6eQGxCZb8kKFpnaB562aJ61Jb2zBVfPz
VN3qAP5f9aXJ9tqMbmhD0z4+I3Syj52e1peuNfEbm6U4U7LPn4ANiBf8XLZ2Wnpa4luNrOlXr6XN
F8ZjGq88CUP0m9rVpjp0tQbVGzEGFc53zY3PdsqRa4OBq1PHSsLH4LOzkhYM5Wy9WD6Jlcm69KYs
8sYgsH1pbjUCFYmoUyXftQ5imBRiq/HrMBDDa+NrnJmkXpEuVU3dq9bkxqOdIMSQkzB+uDJHhcut
192xWyyvjZm3hNybtSrCPnfGHwhBFofvzGPtty2XxeVJLvb6VGDwA/VvPCxmqZ2DQWc381z5Y279
7g7OMI3/zmxxLan2C4F93Z0x+MkNHCgo7cHoI+f0EViKdBWS+NzfxMIOT12W1fpdr/mCPb4pKufY
oJV7paL2rjgTx7t2jKGnoCXw6JsOFiST2PK/LsIfruOqTfYSzN7Bdiu+Gh6blxZOvHHjeEl269qi
3aE6F5/6VqLtWtLXIWn4V6Jt2yiWrfXNwYq7s1tklC0+1Mi0iI51pOXuDa7XhommHRVDz32IlFWd
wffOtxQhUEDtPH40yxUioDX35JJdSY8tES1Lxlmm76MJIS2oN4zQYwp8uGp7XhaejD6hRENlyb6B
O3E/65l2NbsEStbKie/d2GyOwZyNCZsubjijZtjYGY5+dLLhJJUiAZR780pPpv6yTrz6lKS12lDq
UwIGjP9ooT4HDiJH6NvzuWik9UKa26nLdIMtDU/GYoluW7tGi+PMvpjn3H6i3ibXCSLpN1C/zJma
gUx3zTx2ceMxLUspSGXeqCefsIqzXqfTDr7qwW3KLgomDU1S1jUHQtKe6f9VX0iPXVZlLxcJbkbC
Rs8JJ/SUstM1HVIcsfaStxtrGEYAkOwEiruL1BhJ/lLTdAtnAPRnnov7sdNctrogOY8gsQD/xd7t
iDBrQ2NaEUgX28+ILd1H5LblIcu8xznXqz3t0pQ6kFKOOCpFVHU2pVeZT+MG4/IxthbjW6rH046k
UX0P0BsQeQbXY5LcjKJNB2ITaRUmSrkXFBf2U247RFrNzY7biQ24yTmdJm4X7AnPCV6JAzWf5tY2
roMqWFAtVPYDiY55OFPD7hz2rosqFuXjaui/UwQI7ByJi2fnURduIJrhNcHd+mNh1ITHLhmy6y5n
GWQ1bFlyrmpS4dtWpRu7Ak8zt/AaGCBsArAQ4ei5FPRgL55zNRenZKoPAzY6klRt7bJR+Xy36ObT
gBR4x624Q7KVU6g5GFhgjV9XthN/QgxHmWHLXcEWmG9af8jOvt4vEbms/oVQ2ZoNmG5Tpyw2hA87
N3gGgfulU2AwtCiXo1KNvHLBB9XUaFrBDefWpzaZyVXOLdzT6GdXTWWPUXRTQrhvN8zQ5BWZX/nn
yrTdvWPQgKe11vDEWogAAhKozbcBxvlLRTObU50nMSiOxLicginTz45nn/rcmw+xHEIJwvWq5Fu+
EDVqcmE3JcPRadjUkxgu6fti/sYeCfI7+BwwM+Wc89w39SqWdhYYhRCycXKk/gbpoPEZeWp/bEzv
m7G4P+K+6b5SsZZfS3LX2LQEwCSyjHaWHJPt4I3VnSLFMSqhszL0DoYFHD3Sesqh+YAiVmYnzWom
O5KeLryDVxCJw6bhNjcabnG0ycprbmjfNECf/DwBPAoEdmGNOjlY2Ly+Mzu/unMz+sjkzbKBwuke
Xkph6t9qkacvpMmRnGoChbnpUAFgkcybe2WbgGR6Kh6+NwjaO6R9ZN1KzbWOZevzRAkgxPK0pHe2
lPj4afrzfzVxZj5QH3MyLarUPpFIIF6qApeUGAVNBKHG6rWwa7oKYhnir7rIjW+g3HjSNzYqXNHN
8VezIOs2JPlEI+B5icWL5rRatTEXcPrbpXDqe8z/bAwinadm5yXEjezsAHdvNM4pyyOFZgtcoEaH
n7ojSuyAkOOvjuHwM0E7lz2Y7YDoSxvcToubkwDbSOJCb9CWIpeKalRaHoeYmRfNM7sWF9niDJwb
9VoaaTi1U5bsKF75zYsGWOhoAzv2o9SGabonuowSYGBCivFtroLLPNVtGL99RdFaxi7fkgavFYDB
PMZfZS+BHiUjaXegBJzq1RxHXnXsLNxlE8yMr39fTEdqCeAoxpNZSNgDyjTPwEINpcBt9hZQ9tDq
8LNAmVqbAvgd6nsH/Vi9L7Ocdg/KgowDJqFJh9agC3Rjds5s7ECuOxeqH5p7Z0JRwVfIvDWc4o7P
VxD6lB/7Vi/yC4GKQe4rhfDjKpCDfJUuvdHNaOL6uXI1gxhCJc19jZf1qcKtdVd4AVgNklv1BwSn
QhEvYmNwsEc+9MGUOu+Rqpx3ndVQz2hnzbXG/A+kKW6SjHuX3n+qIvoyXEVJsNrAJmGKl4zTCzjW
iYpYCSl+4KDPy30w9gjDx6DKcuTaGQHXpc79s5n4OpdDTf/vNOG0A9baDFR0Tmq3+RFYEk2UntlK
zuaS4QvmnuLAzUOY51dYjWvEak2ALb6fBU/gTSoJ/u3WErL0apPcTLSBn4wcon5XNvqJmXR/mKrR
uqsSf75Ey5Q9Em0+fZrAYPzdVv8/DeoHGlTEnqtG4H/WoF43/ZD+R8jOW2Y1TeT/5t7840f/IUX1
nL+YBpArh0YKBciKqvkvKar9l4Vl0l7HjOv4xKJF/k8pqvvXKkeg/+mvehXT5af+6em1/uKvGozw
uNkQPNLA/Tcogp7+rrlsB5iuLDB5SEEB0TIi/7nf6xVzV/UlD5x58FnJRlCkHh2OhH6ZKXuICDSQ
QMv5cO9RSZsqsY+1WQd+6C5kY4fmBDJiZ8H3J6CY/KnuoNFeJVazlXWlb3SEAy9V5viXKk7tI9Hl
xjX3nn0c7JFnizJznB0t27nMDMaQU07GHOBlyrAKsMtlwCnkC9y39kurEzW/BSOwni5Bul2SU2I/
v/k88OoQt93Qu3Q3Y2P67d5k+8AEVmjrj1irGanIM3VrdgMSJ3QXWEE4DtKKFv58TmYneKwyYz73
OS2FuKjYCayW/scNURVFc2qcvvFPbuCJF+Fz1CrrimehkRLiZtQJ5iKKcIJ8y5ltF/8tH6MNbPB5
ppn0B0bLxgPObefZIyTztiEc5GAx5fm0TDzaaqvpD8CdqSRcui7XiUly36YlheMxd+EWhF2X4drw
Ah7l+zZYxEv+5vwCYWM+ZKJsv1hxhwMYcQp/zUa7clE1jvOsEn4OPgVvwMGckmymklfTrcR8yHFh
VOFogW3nWDTzqe2C1/TJ0fmCBYrPHpQOqvxx0q1rIhGqC9qK6bVVaPmlLzl691M2X+VxJhEbBMWx
ziC1kH+8Xk+mSqDbKkKE3Ih1zb/5+wstdQI1I0AEwaM5rt+wVJwU+UqF+Az3BkH+1MY8hubCxF+j
Mw/P7jQO8ugWVc5vaWXKnz758EuIwJHrMuUa7zGdNSq1Sdl0hjyNw9Mebx0R2C0Vgf7Uu4D5d2W1
aA1m8OU1jUeuhC7x7eBfOg+LcHYMg11OQzEt3cUU+Z0nYcHQjQTM3hqV+VDbLMCZPHlWLaU0XStE
nTsFOibZLLHJnx4uRSiD6yIaaDre4kvgn71BshrMXvDNBtaAtSlQjnX0kSvYV6VHO5rCWbD4NJNi
Isb3CIlzaocXDLT4T/Sh5bw1ddyEHvEnHDF5wJkbknOFu4ZDY1Rh0gpOkzRMTBZ0k1hvBrflZQPy
0j68ofG0XFIHqcniff9t26ig8pwZXDGUqKeKFRMbo3iZZ3wpUNvQlmzkuk7UWnCRZkEjwhqsY+Wg
7/HJebLCodOzfcDMfetRWe2VlMGWc0T7pW85Wb4t4TcblSJ896JZb/Z8XaSxK6HZWyOXZDITdTtz
fritFrO5sGn+FDsEmnipzHUuOpAgaGFu8lkwo6c3FyXtB1bAekuMJZ01qksunkpHvmyG4Mc3c9ji
9T0pBStkz4XF8WBPTfyo5brUNiTWU9PnHfPnsve4Od1GBdvF9BGkpw40GyJ8+Di4645/0+2wH/G3
EKawwLQ10FMUmFO3ZKAbD9Ic+NT6wg5C59k6emkTXE5NSdusgxfO8VexJBoaaQtHB7/3OfCI1LrN
O4nFReuFYj+lKoqAm3gH1+n1nV5SYjgdYFHiIbQetFDB58Ujk0y7hSI23ZJhxh1m9hVvCPfOfCY2
Go+TEnN7leTE5L2V2haMqHMRsD37qCoDTGklv+etw4A5xo+IOzAfdD02HganHbmClT2fWxZ6tjEh
mXwp9Lg7BIZIMLen5oNHu+7ahR0Q7/w075d7EYDSPswjW6S18IHnNeZrQ1QNXxStWeOB2n5pT0nj
cVizakYmpyqm0ZjrNAxGwiiAZk98S2XGEVgQ6M6YJVasKSYcLHDlLnytvSidZ50ocJoSaIEeunE1
AjlqUhEwWqveVDopZTtDDMG2qdfgiEByR1RuB3K7CYyHqjJ4PzQuGArIYF05nlE26mQzCiawPaHE
Twr6Y1nqsLrXrhDKRjxhmWPkF3Y79ofR8Bh7vq15EBj8kD7wmUOzW9c/x1fjeiTB/NFxDGxdkKt5
CeTW3XAn6UXPO9Bb7G+9IIkTh9i6HgOF6bDt/OBRA7fG6eNtS0M9keGf9lZToxP7/XjMfdHhG0Bn
RVK8oRm3NpS1bYk7hAz5ictrYaF8u+Mq6duPUz3MRjh3Tp/u3nbWhkRPdz/RVH00MquuH6ckUcWT
A5UGRq297lKGnGhNp4PzHBCfROB8V90Z6WiGxHe+1OkcHPt2RUn6HeaADcFj7MBBCV8BAjobWUn9
MIZ+47cGSdOAVdMbfHjqwPZjVVNkJCMlBIdl7HQhAvDgouKIQMfWi2HEQggPyrslL3/kxK15flgO
WvLIo7Q/1INT8RWtgTWbYpzZa7kne045dUYPcjLhB1ld7740+BKbxOhPeMtHHfyuP83UIVb/gOXl
iNSYq0uCafnANLW94Bnj3xoAKWPuXWnt+s7K6EoZwzWtGA7fZOFwFk/ST5nXORzB6/hrB/KLMU53
SaKOE/aDhzcx5x4AKGtU2nQYBnUU6dhecKrjIHmLr74Jmbw81WCQ8MJ3O831gtvWlpu88s4xCBX9
iZy6VuM50VQuGmCjqdhVmSKuuIdosfSROS7kMYyN5lKHHnZVGEOdnRNYZFYHw+hAK2d264eaXVi7
ojbBZOIT3enjPJ0cUGUFSb+TkhuzblO1Uy5nJziyWob8RoyQtEysvxcD2tEbH9ryibEuj7ls7g4Z
0fLDppqMT7YhmytNd+sbJmT+yTNjVq9hU5SQXEOiaN6mG9rR2G8BxBI/LvUrhLA0xKCMzs8l4+xP
yqs+2bnXlZekZdt3XZHWW05Tkw8Drw92vrTkq1B98C31h3LDWNvcLCyybed4WQSUoN+hbQwOuuxw
iM4Dplq/ndPQtnNOf5bIr0jpgQnM9XJf8sGvGZlMMc/xTN8m2fQpCPJ2V2Rev8ei/5VUpNDJcu9b
0s3qTD4kWTplZ+6swsuZBzr9nSCbjPKndrfMQObv+Wg+aDkwXWMS4srP0uWuYlgbNrRMkJJo9j4O
pHfZBpm9TTrx0IG4zTe9S2W0FSSBXCFyYYsqsLc7HEO3CXXDaSQc+mSKXjuA16CDGIDkb6xFD7lo
9VYWnXNPdlzDKK/zt/Q3iB9hx9qwQopbu8sjj6pTWwrjhoeA4sgo613ia+6x7C11lzB7t2qrPpia
6Pf++oSwFC33GaPtwYFMwphaaYTGzEDy2j64IuflbsxQjWBw189Fn/v028rhkzmbGni1tiQ6x/f4
OebS7rdBlgF1iWkuJ8Igu32eDc3nnPKd8m6kT8T6Ngtcp7F/8Bigwevr9JAnrxcVvr0bPUftQI5U
xwkd0rNWVJ+Z9tEUIjC0CmXfix3RLATXwB+gibvg/OEMnIaOj9GYzT9hnAzbMU7S4Shr56VNE3tr
DsYUGq1erruVcVR5bz3HvQ70MG7E/JmKeEt13VMJZnodgc4ptkNnuw9r+Oc1O/8K2WsAWWiZ6R10
MUPWSUsVCVMpvrTSmC7TUfOMTQtfNxjZSPyeazc4+llORWlssdb0uHo9BjT5OYuNGfAuMOry4C1C
Ji9s/gkdaLNjiGvQp9dkTZsjJdVi0yRWvMfUoLEx9Zl78ItxetQKYfo89kjw3mSjgUamHTiBpN3W
A+pyhYQgizLwEY+t65fHhTQy6BCqQAIwLNsxRYga5F62c81S/zQls88St6qGWU5GZxN0WDFWWfA9
AMx4mXTVdSoH8YSKZryoev/KLWoR8vCK76vR1BHMiJWazdllOBVdp7In4bajfiTcKRhOSPsXc2Qo
nwc7K7CIXN7mhkbllHBwi2/iIZioZiU4otnJGvAjXcmmHhMQSFCwNilQcBvH6Bdr7+U56tnQLG1a
JAl9kglxngOh+oufVjx1zRHAZuhnuGp23sTs96LTVxFS0VByRTqzYJiEvckkBikIzuUerN/aNqUQ
caXNswntdalOOg2rszIn4wFLfxlW3URZHuB//0As9U5Mux6d6dz6yIgsE7LteyclI7IyQ76eH+Im
oNVXNY01Py32MorPMIOwjttVQDXS1LSiXVr0PHz/peVw+7eW9T/qsbptsnoQ////vZdgru8Ajdb6
X0yWeBfvJJhT6mLoNoeESS7p3piVRZJFY2DE5rWhCTQ1QxK3aNVACF0MJKzU29YVcDXrgYmhPkIX
ABog//3LEhDagSaSzrn9i80GZl3cpES+HGraj3varHNCglxDTSo5HIcD9L4qGisw1RFO/PbLB9dk
VcP9i+x3vRi8vLv+hxL8Fw8FPepiBNnLNQEDYh9yo1MMJAggqHK+kFQR4rJYk289FF6sHY21/K7t
0s4vpN215g1RLrJAy1cMSXoY1hN0263h5iJ2OMO88Q8+eMOrou7nN8wcxYA5FBD0vLpPfu7AyCDJ
NEvzywMdShqSgQKDEKZuAXK3h4XZhXAg6q0LpoEQ30Kdu4FeBShHOgDN3J+ruvtAS2u80wByCTEs
rVgXtLSYod+W3b/4FjUHINFI3XCAlUDZiDBqPg+0pB4FLR6x8bX1+DuZtEmRPKN4kJwvYKpDADEI
dMvQjrXrGYwr++dL9d6F8PbG3FUBCbzIxd/9TgnpSb3tK8JID62bUKEyl2nKEcrB1HuQl5BB1Pdt
ivLqqHDG0U+wGlGcpG3K82hLnNWpnIJH0rY5LdtvdbFBaOFeyzhE0ZGmfM8SQc0dI2XZ9Guvpw50
7mw67HRLCm/laECOZaTxdijNKujmI9SXdTLSzuc0zpgJyJwJ/lrHPWd1wdpi5luADkZFsnzwPZnv
1Kjr5fBIqwd5YdNCDN4n1qSG1mVKetreSh32QLNBYXvyx/WoU8+8ezZ+2temv8bnmARzhzMzpOdM
ZeNyPwf0ke8Ty+B04ixId3IMmmyvtsmfs4d0aPvWHrLMdv2yQX7Ml+M0JtmhAVxZhZnXgtFIZNcf
FlXx6o4JqxOWjpKsEA4Ef0uX/68T/UEnmh1+9YP8z53oI33AGknhv/ag//FD/8QheH+heDFx1ZPY
7gUw0/+rBx0YQNax9KzuLtzQb6SE/+ZKMoMKUMGwyngTNqvvnz1o96/VP4mqO6BrHICr/Hd60HS8
3+2AODTY/bDUk47jkMm1rvN/2W8yNyNw2xDpae4MWBpTCwxxZW1ftJ0Hkwksoo14Mw/uW6oTlF1o
l+JQl76Dd0MQMX/ojQqblt+U7mlZPDvelrJZUyl1fb4bGe3YeyOHVHjHWbp/6phoOiE6iiQPafWg
eJWmAOgyVT5hjqTzmZz39MVGnTe6ZLBCyuLA0i/HxVgGG6Z0Q/+IFCp6y6v/HoBYg+xREL2xsX2t
+xaAcv7ul6mMBhp222TRaVwAQxkEvHFkhRyUJ9v8T/bOpLltpOvSf6Wj93BgHha94SSSoiiKkmVJ
G4Q8YZ4SQGL49d+TdLnbluu1w71+oyKqHOGSSIKJxM17z3nOITA7EmmCwr0ZSKtbFLI/tzRSNl6L
LWcx5VInz9s1kvs6Tae7Mda7I/nDBQkIjNjXHmF5SBP8EbZT6eiRv3DT+pw7tUQEAgYHuc20jTAJ
781aAF2K/asxMQUCpSqpIHE5YKTamJK8G8yMndJh2m53nvkhV4zaxBL5vWGiqA5i+yVCGnMLuZpc
89myTr2Zip2sJnsVGyb9zrkFKOuSZDslLlBmLT9ZnkayZjmcHX1o6djm6MZoqMefqHbrKxtAwlIw
I7w2igJpCMDssxSWx2WPk+iG8a19HOLS4r31c3/Qh3UDh/1IOEjxNZVuANfNnjatgyMyQpZ5Nt3g
kxOG1coIEUwALWsYoPMvxuUfAlujY+0VJS1FZy8HWt8eWsb7VLTW2RqD8dqiB3NCR4lQLos/MgGI
X53KHVag865z3ZlWDnP8hYvyk/Nerd1J0Pv3uciKZZlBvTQtzi0dVwQsUHYn8rQ7amNGJcod+z4b
53Bht+Z4nFCzrurRMdeGwzvVEKWsdBlGD7PvMYXNfYViSssq4NemqVjrdW1cW3Gj7ye9/5zz/99G
BLrTny7pFyM3Ds4eet07ilOagiJMw4VSbR+Bc3XLtJbaVYY05mrW+vKsm6xoz+27A8w1+3rKzUUt
LMBgLPubClTGsxQe/g8g7QSHpLGxQp/JcdCypL1qsmy46tMQkF4DJB88yV6P3RsJrYhxPM0WRHt+
CuRs1LbgrgG5t6xBBMhIOPtQ6xgTdY+alm8IHzrjPtE3oXfNs3ikIiufpqFPT7ElbrUOuQntgVWQ
22ej0fN16def2trzdiR+PBKHisvQbF8K4og455vQmYvEvHbsgTmu+qamzxqlLpx/zIlzr3+w+2Bc
QhwPt/UgtZvBDwhb6OtoBfD6mc2wvSWuetxweK4AsEQOMJ/WfrSRuqHhJu+n4GhJ+9fkttL2Hi78
BXqDZ+RSzbr3CnGVI11FYLGfu+TQFXS5mg6Pe5kcSTtRbddggQKzwJBPxsww1MkmIyl9aWdpe4ZT
lt/VvhPt8BQiKp4za4ebe7wrxny+KruMjlBdQ0fKRohKQiI1IelBTHaYrQajHe4Gu3vsIdRutWZy
jgPQJeBrC2LjB/2+TDU7D1aNIcz0NIWDVdCfBtIk/I9VU5Ew7M7BQ0qrYAPUI1N5SeFpsvzkFv74
a2nX9s5pCrSeifHq1tKBxiH07qWl6rpCHltzSs3Na1UAbDA0sqT1KF9KTsFojeP8NLHtMgthvwPh
g+jGK6eXmYgylFPsz3A0u0MyjdMLNS7iqCLRm3vUgvcl7YNF5JfFLUlQ8B9kkPf1KXJCY2fV4Pau
atCi9SJ3IG61c1rt6kwiT+TQBAKhLoNzl3pf60oflpGJ2IAeKFUhHmsI6wiv/UVNDHAVLhlm9SOh
NL2TItFMXG1jzMiTfbMrNoT2jtziJa6LsX+kMdAa9nYiwmlflHqsup5a84kZWDWBNEvxuDAUMt3b
TPgIQ9Nq9LdZ76fzYaR7cjfywL4H8M8tkg0svZ3opPNEx1fs47mgiQBAwvnYsfqTpYGdPV4aWujZ
yGZr79wwODBhBOpiX8HwgZ0XapsuSMtoGzbdbsJcc0tgdX6PwJVkDCGxecDmZOEG8xA/44Nq14D7
6R0mUfxKhp0eLApf4LGNCEE4RJagCeLZNaLxeQDVIWuf+8OSUjJ1mLU7TvLT1zKzabBi5BxuOtm2
p2k0Gx1V5zQSRGKUHE3QXAIlxaLaf9BRPr02Qk+eeSYTwoU24aZV0SKhdIKv+hiTNxLnoXXWEHd8
0KCGHQvd22FPy78UKqrEuaSWJJcEk16FmUQq1sSp5K5QQSct9cME1l7A9A9CriJW59h/7FVASu62
+WcmPWm4p5WBH4rc+eEupPHzyHOE6dQlamWaTNI3PK8OoYkYcbQTkL4+ZUkS2GxGjJbw80hlSCUN
oZhi7ZSkLsku5iXk5RL3ktdA+2XYkQJjBsW8C/om+8x4IDvXAyoh+KLmMgFBvcsMiJLwiLlZaZc1
t/Ml96UdWn9amFhHivVkBvpNncfDszNMw5fQj5sX0m/kpqQDij8uCiLAGs2k7YWRyhP2Ik6FFn3E
T7Y+gY9BmEazD+nptvfQaW89bahfgmgs/SXJyP2uNjprWKVJSigIPfH0Q+MnNkFbldWdUzvsczR6
VnN0uzpnVqSkLPSAyBOYVFYc75zQKk/oz2HQhfa6TMjGXRlSA7Ka28k5DGr9Cs2Qtyz7voQx4tvp
Fdtz6tPjkaSlZaZ3mIau2RuAM1dubZOmJlXKAwBp4Lg1hxBf2OtG52CLFrxb42Fi5Ipb8I5hZLdq
HSc45JrsUc+GuGVHL613ILvBGRZ5KZ7pXHbeIol6SNh4XKunbDLrct0hiWrQXTfzFwxb1k2oD/UK
hNJHO4qD915cFq8VCW4bi7CXfMUWTzoIB/1KW+KwYkd0xknfJdgmb4LZ9l6kI/JtTZxPxNDImTFF
WJP10RtEfN2FhvUYdHHMRLqwRnvRCE48ZUV8G3Ic/kiIeOZvkRJOZz8LG7kczdh4lYFELFk69Utk
h92dE3QgN9PR1J97wgjCNTlkPWtJb3uStzzjc9CYTboOCzfS9n6Vhk9YXMr39ErddmMxq7nu2366
khzQUY4KEI6ElWa7NMpO+twnT03pHaOJqJa4kIw5tPXgwzsppy64s7tAP/aeHa2ioKDL6AS0PZDc
EYRIitFV41JYEJEt7Y/AW+hO2lXNoMaePBADxYDG3dAsY1oabaKjJ42iY9uZ83rAG7kz01xezbbT
rebayje9rvcHQ4vXbi+KLzRHVVhN73p482DawH0tAQS4nXhP7k340bWrcCMrHc8O3+bcLmth9zek
92S7iDKLaXXo6GBSRYRdJsrs9DPIJlmC5eNftRbnbC3WcFPhL/yQhyNjIEePr3T6oZwPwv4g6hHA
sgGxiAgPItQjnRqR2LO9j6a9hRna0ORMAtI6IOVkTy2YFbEgLEKibE+cLlzXtemum3CerzPNqPcD
SrMDnzA/mKQ2fgrnpNsUSdfhP2nkJgqsctfkkbVi9Pmhnog5WhqmIV4jq/FOVtNoX0C6it3l6Pff
U/IfTskm/mss4f/5lHz88lG8ttnPSq1vP/TPKTlw3tEtJA0a/je9JUq0/3tKNnT7HQAfTIC0NX9i
BtoWzEA6r2QiKL/spSP1zyGZU+5fCLOIxv75UMy5m5O5gfASFitB5W+txsT8aSgRYnmwkELJ+GYm
d8Z0CZhhNjSVB4wO9lQXu4S8rC9MLji7ZphXHvDiuzuleL3PCz+csblY5g0PEhcbSesexjQwMZvl
GjrcljMqzzihbUoSI59sDHdH4XuMnqQZ9Jug85OjOfrWMnOwsi9qOZtMpmNOdGhZjl1U4HxRw3Ke
+sUpy/Ty1A1sYkzViBtlBps9CsTxe1sTfg801i2JQGFo1+uxBqjer4JzHvvFWZjdo+tn847n/HhF
gzQ6uY0zn0kpF+eR2QlTB97+jLd1rQ0WIwqUUPgnSVuRLrkr6DuJYCGjJ38grX189VRCC7mUhLWQ
vzWemoYEF7CO8QdClXqiLVXCixWR9RLEnnHvXfJfRjddS51agJzWcjygvjAPPpExxSU8BsmYR0yU
JFNGV+kypcqZ0QmcwcAp2oWlUmiApiaHJikZWJY1KTXJJbBGqUmQrJNi47ORbDSVbCMKm+ZlPJF3
k0uSb5DA+P4iVXk4pkrG0YjIwYuUbrx0xG0YM/9uoTBt9aEihicu+0OpcnbiS+QOwY3TPZKYHm1S
AO/QzcxbJlftdjKb8oaKZjiAaJm2NFSt11Tl+qRQfu/dS9hPoXJ/8PdB3hKx6e8KlQs0c/7a0IjR
AMfm5R3IWeu+m+zumQZ2/nUyW/3BVDlDrkocKlpHO1qJt2GO0z0RtEMhQdZQcGpUWpFFtNcGZBpm
6Y4so0GlGg0q34jssPFzw7D1lgNbdUgh7YMcU5FICPWotAKVlGRZKjSpEQZbMoR8vOejylVCrh/f
la0KW3JV7tKkEpgQhsiNj9sQkZT9Kk3pX5e9RO1gOfXRFhDme5XnpJkkO8Uq42m8xD1h1k4PRHLa
2zwiDUqXlKRU2umJ6GCyolRqVIaiH9a6ypKihKIEDSMVMdVc4qZ8lTxVJq7H/kUaFf5yjG7oXkDz
5M4T5nJkaCq/yg1IsoptMq3omzKUJ0hFYh+K5mdSh00I3nk9XmPZjh5wETu3fkO3wVc2IemVJ5yi
3dkEXrzOHKsjd0rOGWREtA2k1ZJGv4i70QFV1XmcvocSK17iozXAj8ITOTDEzpmQYaHqMPBEMxBm
cukSIPvINlKfJiwR2zJq9DUll7MmXIThPuRuTv2yrpdek+AQjqfmtoiK6FbENub/xrVe8oROEeA8
MX5oYd8S/+b3073rZhDxyLbT1nNqxFvHDYt9P8uS6g2ZAmdArXGodIlKvSW+1TAYhpdZAY3Njx49
o2yQwblViCa/aUJ2kqSeifSrPiM90X1ilorxxpq9YuKrcZJslU5Se4w4oCBmofkZIqmOxpWVGHD9
cY4w8icHaSbFGjHBHZNS44NoiWAE3gcwudnkbuXo4w04Ln9M+OIizofmBqR7pMqDYXIxyY86UOp7
WAbm5L6PvIIpbWcRO7OtOCcn5X6uzVablx0j+LFe2dLMhnuRjpH/yY6yMC7BY+X64LwvwKU13tqv
HS3baJyE08+TR5eHSFm+IvGNU/HfOuAPdQCNb/Ug/c91wK78nLz+LNj+52e+N8vtdypZ9MLpYQTm
oZf+jg723+m0iUD2qiglmt781fdeufHOc3hQo2bgkf2NhfO9V+69w4cET4Pe2LcW+9+UBbbquv80
LfQNJf4mYN7h9KK4eD/3ynu6tsmM8FW5wljqTZ6/OileZExIugmKYGbvW0ztBMGh1+SwzCLTOLj4
Xm5mNwTOzbZBNJ2eyM9ebxQ8VcfyJSBuu1pEQYZ/i58i2rMKqWXLuXwpHEKWdcCftyIZ3G6R0qnl
CZH7M5pqtoR1C6/yKnH9ew+Hw5kJmbzV5WtRCWpnGsyPndTFc5UlUlvOMi9nGpP1+NrmHVkpaOUm
NITIksPVGKiQE6sDAMmQusk+xlTzERbWgpnahNJkXZkEmCBXHzkJ5EF/E9EGJThAD2d75QjTh65Y
+R6tZcoFkBR+al01pLjEaNXC+GClnvTXHFwTEDxl7lLVaERtKFflc9Xp87FvJyQsVg7UPmiHTzjx
y2cbOB39LR9wZjJkzd1Up9GrGRNRl6RmBbin37Br1ktIJPpyTPzhOOO6OznWRAAVAu8Gf0kxeECJ
k+zoW8V4BwVz3qgMtqmtdp7HQI3IHoytZY9L1Z6uBjPxTkbToo9KreITaYoGbZmC4E3HqHdY0Lp7
axpaXKltS4rKZG3DuTZynMBZuXc6VKbpNPfXuB6JfZvBmO7lzENzoUeYRklEbLyDrxcm2XEadBar
qPt7AKh0VHoDqgDwE+OJjInwqdPqcVcPDrbLMtAOw0xJx6zUBX822cthDGfCZYz+Q55NdUN+UCEI
XBfNdewDbAhEMMNomTotW7W5Hd9Ku8zXdROUKXPioCl5eHnyhra2MEhZ6bPXRqFBEEQ3zlWUFHB/
TczyL2mKv0y5hHgsEHkRnUofBvyW4XpyjuvM+mBGRXIXzA6vZumeuDdqEwpLE9vXhpnSLIwJqd/S
Eo8YIlX1yuxksx0mQ56juIBkg6L7WSsjQaxqEXwZxOCJjasXEe0IFALJGgF2cKb2nIdliwdXe0oj
yz3FNoPdBZBUrSQ1c84+2XVlBQwvTGJg9LlYBQ7x7U1hlA98j9l7erbxyRvT9qYlf2PvCRNdp1EN
zSEOS3uluVNUrFiugAWtRldYgKpdaQ1/b1SRfYMitAf5XxX1MS09xgr017jLnxDIpjYOxSgIbC7P
aPp6vQ9kovOfipxbwofGQE6pe24rNOT5odT1sexoQmndvC0GGI6hxHN6ngZpTfsYDtmWouZk+Cmt
K9sj1cqiSYu/MLgfc+6edTv2+XMYknxp5CFdFA8OTrvMarNaltSB93hi+xpQh0GUoT01y5jm0dGm
zX7oHDe+4tziLNqqzZdZxnSZgMhsDYqCpcj9cg5bUinIGpH5+/HStmZgoacnwgxQG6/smqb+vT23
A2YVSoTSOZpGo22HXjzatNLuKCAUKUd1yi1a5jIq3ZtKddEL1U/PVWe97ovpjmmFuetV371SHXh/
avO7QVjinP/Tnyeh0grytVfzRUKEX+CERTjbxMcCdWqvOv06LX+Z7usBgEpvaQ1AO6YCAeMBV80J
HAYGacowC5rBwkA3z69RUwU1X4jBwsNFYuZgqOkDKNf2NmEgEajJxDCTqofTVLtJZyPcRmq3nhhl
lGqmQaY5X/L0WbTyupu5hmGnX6eXQQiWHWTkbfx+vExJGJf4HmGyCCg/OXxjaG/MM5KHAIs3dGaG
Le6QpqeO8YsdKn3odO2puQwV9L1MrAL/hteRGcUAB/O8XJmXqU6PXX5LXZgtiUDOKUFbNf9hEtQk
RrsXVnvdqSHRBA32ylSDI6OdsgaVvEfbGE/RXkSenfDx6vk5JsbuJgCAsyEKE31qb1+7ajylA0pa
6JeRFXiTKypD7QohFatpqubjdJlytRVZlz4dqrtmmoKzNQvSGKKky+8yNSRzA/HZq2J9nyWRcT0X
QbPWEKEWsDRGSJGybJi2+Sy/Bw9wzMoxHBjIaiw3qwFd5EbTERQNzCZpiPdzFvXUpzZTviC5c4TW
cEsw7hNMv5ioMAIURV7cyzwM7xw1ILTVqNCp9GkFPv06oAe5ytRAMR/D11iNGE01bDTV2DFRA0hX
jSIxI6osb3ffqjHl2LN04Hp+cNQIE+4VPap0hMfs8k7NzPs00GI8+1rgwfQbp41FOAp+Ri//irCr
PM7DulVD06GzmZ8KNUplj9EOaZcwX23iojk7eZyvGjV+tdQg1lEj2WBs40/2ZU6LVLVdIqE6swjz
Y1DpORnfobNw1Yg3UcNew7hgP+2VGnvuCjUSzkHHrrRejYkH48WRgj4ZESP36N+Qt6uxclfZzaa9
zJrZDtXcWeruEl1buZkuc2lH4QvUqFpjxLt32mHaln4y7tyOR+SYze5Oy8Gjrf7bLyu7pJv+UCeb
hqEwcv+5Tr5JPjFsfy1/VJX880PfC2XzHW2KwINXQ+mLsZG6+59KOdAJKyXv6MdW2vdK2X9H+aqb
FLCWC7NPSbi+N8yMd1S1WBBRnCiVCqX3XzTQjDeFMsBoiL8U8FTjum3TQ/u5UMZRM3ZN3hrXZW1L
FFGSWmHcCoemQBjr4I8WkPoKeg8ZYtb3F3DRCLWgFos2qLHrJbIkW2/SU0uObOruPIFCuQgFv7n0
grBEGNWQOtle/XCl/0XWqd7ZD4JAKlXesM+lJTzJIWLizTv3237IQzGLazT24/liNPxmRMaWfxw0
ZU/6/Qtab5uNvKStU3PZDlxWnIxv8b5aklu1Bq+fjRgPWedp6TKXBn6S1LbpDVB9ac3WEHr9jNg3
aMYlejrP3lK7yXADvdmodqGXoBWcpafkcG7Yz1dmR/eN/B/cb/AL0OCSifJACghZV3ZYVtd4YHAB
RTTKJG35EFFeIxoloR97TD6wIRBlaso6ls9AC6BeOK8AFxEgpo3PS2EORYGGpwvZ2cCs+HvAl8s3
wjikg9FBlqE23UxuYj4Iw2IRDBYGI2EBMsE0iI4YbqRBz5PzyRL7IFXJkCj/naHeOe4OtH8XoaVh
aCjckktAWyvwrGoqyCtyldVvNBMfJ5ADJctEKT5jfTHB3oxxwTu6uP6m2YjH96JxYiBnjWYaDyYq
i/barGzPPMLh98ja8ya3fjIph+J9J1rWX9Qi2NNMz5HnWZT4E6zcHD/U9Ei1F8vsuHLf/GpTVwEG
ELWPzVVyBpuXIUZ5cwFQgW+iZhY1rimGkeyNs/KKajrT01MoDYxT5BWjwv0mhUyz0nkl9p0G7eQG
j7IX/DgoRVGsmsS9g2/Ar9ah/UQYzmy+BdfuuvaJTDRZb+0ZUsCa64gIG9wYlyXRyCNFV9Q18/00
A7kC3uOQm4b7DWvYrL4ST1kigyZhYDrUWHIC8OHGKsEYxMNNyuEmjob5DoZgPC7SkZvXimzDX+GJ
NYhCEKDHFnlg8C6F6w3eqpJmvrZDj66q0xgYPYZxenA7E0WOE4zeskhDLC0zPKnXKO2cm4lEs0dN
etibZI1oyco42w02Akctt/0lTAPvtYyYWNeWjoWSALyK8D99PMlBIkSP04ErXuQkce9RSuF6cyoS
5DS3abs7M5nxwDo06WEMCo/lhaXJFbc6nToL7VLEERTnf2MZKhkBbp3Fuc3WzE9DMfLdJVZtD1+n
dMJ5yR+L9Gs9ojVNCkSd34zBDDOd19YskQ3hQTQeJlN98+S4N+5CC9HzozyYsYbCK+d8K01uLi8t
uSmzusLT1+pa3T5dNM1EIXMjaDOeoG1i1qZ7leX4Lh1zRjAfjq3YRoB0Mngs5niindps4XAhBrVK
Zaf1qp5XcceM6tjgbgvW0Hm4Ll6gkuJ6rNP4hzNTPJB+qWmPWu/NzaFDiCbQFAS8k3yCv/Z+posd
vE9svcjOoYT3PRaaaJahtKzdLOHULr6JTAWZPgpYNChnWnAxX+sFZoPcxxxns6vEezSDOPUuCxnG
HF8cynPuY1eqm6ITNt8IswP20G8m6h6Q39I3/Nh9GnO/N2lLBmwUfmTQHfCUCzJ2YZ0s/LzgNQlJ
A2TphZEg9s0QIDwXDhlOn62Q9IoPgh0CbAeHY0cgZSlL11+MEdmYay+PNLFGacdvInwq3VM+8513
ucAiixpk/OD3YZN9cQA+mJTNU4OBsdClad4WPH/mZoE3IsKAX5p+AcK4cskfi03KX8buQAdxtUT6
SzLODEKSyD+Wlh48ObIHIDQz4pDRiHemqPr3uK21dda1MfaiGg9IH8U7Kw/ClRWGMGsK4IIcfo3J
WcVe4Wwpnt3hUNkpPtEPUWz3Ldwpx2XwX9WKoZjXiHHwJj+i+jKXVqG/aGRZ0ilQ8J2J02YS49Hb
GpkZfczb0Pui5jmL0hDlbZe7CIpFM62zXIx3buVFL44ly3XBQwrTBPWx34TlC0DlYmOWehQuvblw
OH554hRgbVRgvsYC1pLlN0kd5e/NtAW7QrN8M2vduNDkOC5LAf9PFkN9K/O5ODi27NeqXL5DP1+/
YPSJ76WdnwaPxNgrwRlt00zNuIA9X15JRHz3Uevm74fCbqONwDp1CHiArXIiafa5FmQb37JRNwGV
xB7poV1NpFU98NCpn0qnqGPIcW25IVy4+hCDlOLS4spZ+EDtIKp5RKnX7mgtokRy+Ai99msiwC7m
PfMIc04j0lNN8+hEyB9Wse7AzBonyoFVSwvhugHxc+XnzaSk2xbNJHB9TGGMuzSs6iululmhF62f
0kzUROWZ0t2VU0jg7lSAUgJIGt4HdexeabQwNg7Q2qWGqd7fAJFyj+AUm2s27Gmrl+W0GzQj2M1d
RlBuK8D7mwRQ4s1Nt3HZug8ykfNnHSPzNR3Q+VqUgmia31covxRz+Egs/gHpgmWJHLY3xVwF2ynN
63A/diheoOrmJOCg7lcDCLzNuqyuQ+7y7e9fVdlnfi7E6Oc6KuaEShfnvRrR/qBLtsMZg9/gBHu4
K1Dj7ISNoe6UQP73r/OGwUH15Xko+XEaU+1hAlHv44fXkXHl9m0QhXs7UxGwHE3Zs5W9GfAqG8bf
vxgNaQKGKJAZhr25lAb3sBZRBO595QHGNWzjaXXz5cUF8fuX+rWQRVzmc918Syes/S2IvokCr9ZG
3d1b7mQcL/M4B3M3gq4OAy7+xj+skn95PYNziMEy0bGJ+G9SvQx0MrCYCmc/0/J9/PYIKmNAPeBO
AcuusERyeX//GdXl+nmN8OGQ6PNQUT6wt8X6RLcQ8mgH4Mstqa6+gTDYUHkCl+S6ov91+amlVkj+
rGspj4/fv4FfF6lPuAHXmeEDUFX9zYeuSrvRRwxm+75P4AINmrUbjaG6/v94FVxKWG8Mh6bNm1WT
h+ZQhknr7qMuFlsga8mVBxz3Dxfz3z4LB0qAbsyzufHevIpLBHXDfMzdB4yPV27i5UuTxtPfLxMH
cqsOXsdm0PN2mWRqcFcnlbMHQgAK4OIiBOOHn38KQVZ0NZGvfzjS/bp/saeru5xmrFJzvPlgJSqN
acCOtteq0H0yej/az7qkFOlz3ASlP0H3cFuFB/j91/brzsLMiUBLg0+Lv+PtRwWumOhz7Zj7rMfj
FFbsk52LW2tOXf8P5qx/+YgsDg/PGLc66hnz502M3HvBSxXmfhRxAV4CFs3cdvUz/X92bHWCQxb7
Jwfkv30+8hZ8bH4O1N+3sQ9ST0orDlxjn7sYkcoCPmeu+/EVB50/3ukXd9nPtzrsf5jXDOWU1ueX
Oy0G6AFJUgeX2oKGBTnvDBi79PyMNEYcqzRHpQ7TYjyNA3XdQK3VHmUjx3Bja63N4aJyXvMI2xwi
GignPjjC+ORnbp3/Ybn9uhEGOq0PAscYEtKgUffZDw+UMnEG3N8hK1xFcS+TMKmfUejzvJSpzVIj
2OZPz8q3kXo8xAJiPqkrLfIOf82MjHL6JZiZWeKQXAUUbUsBUcax++wLZTKL61Ct9zQhH7rPm2cp
HSx6Fjy6M2yNBrh61OOZpUoCvDoZ2Bx+fyv82zVhp2StEFqi6+abfVJvEIdIn7u+wKB9THWYhUak
Wfs2t0o8R43+pzbOL2uTia+6G2jlsEThwfz8JTTwmSj6pxkDokKeAAtnkNnAbuPJ/scIzX97MfpG
lk6Dhq3m7dr0Z0TFURNM+wtbB0VRcNBbn1MOkkkcmb+/lL9s02qWTQgGvA/1xHubdoJqyKiJIZj2
UKQ5WNJ+Z2VxI3JK/P0LmTDXfn66umyXqnhw+HAYx94s5NyKkxFR/EAFIeL2pHOGoyXvt132PtSq
ub2uU0knxI5s/xAPMTNlwDoWQXG5egxWDabMROGttIHD0rI15vp59qDQ6JpLK4uuFxD3XAFSBqaw
aJMUnajDhsME8vef5NfvB2FA4NAwZXBPTIxanT/ckUk5+bVXtO3eBGi7GsoeUtcQJ1eRDo3o9y/1
y0JnFMwasD0ggthv3+75XaSbnRxjsReKj0Q+O5+/qUh50cwR4lJJCOMfPpx6ev2wMdo81jzf5NbH
P+iQi/vmWyrnwjIa4dh7txntL65ryr2wgX1dGiKu19LVaebceV8Rd/CHnc58u0Rwvpuu5boWr0wa
L8+An6+snYddYg9JujcMOkkzmTq+Sw4QQKEeuR6Tav+ja2QZUNOqNdojhE7uQEtgZDU7oC8L00yn
s94XdBHnTPVrSK1RB4te8OfZYx2JAiDrVc/vP3kdIQX8poHQugAbtNITkyN750DYfRRqeaGspHog
NAWFsBQTkC3TbceTMyg8XBtm9P0yGkch/GHFhPIjZiI3jq4BCtCxDtwNdBuOwu20q5Ewi1M1Gdp8
BXobrZXsSozpGI/0A21pvVy2qM8C/CiiPnSZ7RlLpa8fVtXUzByg52TPENtY2jJ3EP3DmGAAz1gS
LTO9bx0z3KvC61bcMwYpYMseHYHxeRA+0eiphhNuCQdMNUNRcsYniYI5WntaM1eku9KivGLKH8Zb
V2acispm5m/nBjf4pfgkaIDOS5CrugZkbf0clznIdLrlCZIUhZMnKVQgWNyBNBnPuDSK+AS/Iq8O
WUQo6V0L8wUoDmFlYl0ZRZ2dq1lBIETfGc3G0HGkZ7rpH4D+VfDMawOOWavzKcCdOfMXyy17+0Y0
OAyX3pDzNcOs5gf56M6rM/B272sVBb6GOGcfJFdTMdZIcdkkWYcP3K0nXp4+CJ2rblZgJb+YXOsf
mmDvxqHxcR6UwntMe+1+JEcMNm+G1GIV6NA9mdrlVmvelgMeqrORaHG7ylgu8YnzaiWWBuSTeom5
3t5JKVqPnNxOKWSIMiL1QJECHeQV9b4sJQcJ0xsS72BD3xt2SH9g3sF+kskRxz09LR8G+3w15pxh
F2YS0GWMen0UD0aJieGKWSkLDF6wax6BAo2nb3UAPXtW3xy5tBpit6JvhguYpB0EvSNS4nmqxq/w
gcOTP0sQvJcWHOg93owVj5j7oZO+JmEch8wbWyI7vt1W2CQJkFP3zOBZqf9akq0CVdyZjAdjNOJk
S7eX3rzZ2WzjwnVYReTacjKLc4dvymxVz9xK2/7jlDAJ34yYQ0/fRjN44F9Dx1KFRGRT2/mVZ78W
BiygZSxoz+P94PgzGjod+Mvjz3N7mowxvSvvgL0AmWSmJ2O6qWB1t9dFEHGbFrXGpCGfbC6sHYIQ
2SCPjpK7tmx4I4ZO72SD4a09l4hix5d+9CxN0uhxMkj+qCr6G2fMjQc3TYlz7UWYTF8gSrNkUwyd
9t1k1HSB44na2OL+G7yC5zFjAIB0Me0K1orNNAcXnt1Z3gcKc6ATOC8UA2+RJ7KGMRSGc5EslZo0
3eeipVs/5TQlN3TQZp+WBIaefaFfhB10yDufBtncIzX89sT/r57wT3NSi5nyD4/f1Wv3+g/r9fha
fPk///v4Zfhfz5XIfpqTfvuhf+aknvEOX4Dp/zDW/D4n9YJ3HnGMNikALmfei+Xg+5zUeaejO6WQ
cz3aNHSH/t+clOkqTTC8/DQevtkR/mJO+qYwsSmJoXw4hOvqDlXD2yR0Q7qN1PWo2mESog7Kysi5
tQRBF3M+/OXB+/JaqFlpltB3Imz3zSlYMnXgHGiUu0tffZY0hdLeAsfJFTg0zd+mXarXoxgxaVdQ
CwGEeVOBC/y7Hs1pXg8sIBALOGshkySAdt3ISbHsQrZ0a/SNh0HNo35YB6dv5c+PcJ4352H14oQv
0tMDk0Bd9PbI32h6CyFelLuZocVnhCLsnbkhIeEqPBEzguAxNPW/LP4ur8rVgh7H4cOnI/RzNQS/
OhWD7xUULYZKfYi7z4z+qGQCtff/fbXJuJjCS+flWL3M898WtqmujSigRbCNtbC69ny6NVMMnrHw
LeaUoXT/xPf55bp6aARQvjqIYFVr8U2xiTFXn6NwlIT1jg1wODfkOQttiSe4P9gcrKaeI6afE0Tk
TZlxbqRTPpY1hwgF1cHKF3mtd+4m0+wxzzq9XNR13B4MVDlPk+n/YRWA8nlTHNP3xB6CpIETIMKH
tz6esoDMlBYdVDaYefYDXFsnvG6jHONMVNEVKZrIGPYGYoQ8WoCNMR64B6ezGlptzf9h77y240ay
bftF0AAQsOftJNLTiUYUpRcMysG7CPivvzPIqtMSu1u6/d4vVaNKIjMTCUTs2HutufDae+dMJ5BU
C6KERCjOW3RruZcUqRsXL2fZOUur9DyaNpO4VyKybXIdukIfsAdbce40ZMZ4fLHp72sl1LUhfc7o
gwastsaCyEAPvOMMPtNmlWPjfgHY14JFl+s87qCy2fmFFCAz6R2xo2XBWIRHaiaD+Ng0JJdG2pJb
Ls47rN/U+wbZAMwPLes7d6m2elsZzpwrbH2jczvXy4QYMeVY6rk5uUFk1dKS0AuBXDRaGYXT/N6Y
+vl9WHQwVOe4g0dLbtCnVQJdfa0453FsP2HAHN+bSqGgCrv1ZTKYayuAdJ8DiXbitUCqxpgxKiaJ
O6MDVOr2OtVlzSgE6cfXTEXC+RMlLSUJcwBK/5ex6OBIPmlbOBO+U0WJixmB8BTCQADTBhONnIHr
+FIdvaBhB0ZSd2vQhY8knrnPL8ykF5pQJybKyqXJqFTC2aApouAT3r3eqymKUia4IptwhugEAxjx
1DIgxVETLGOrDmpicBXRR0BDF5LWUp20FqPqQVKEwYDv1U4/vmCNgpb1dNsXA31M4ny5T8bac54b
Tc9Ok5aHX9OAQoSAj21ZMVYAr8mdMRetETkJJ0OJVQkTRNvM7wekXATveDaXlKebYJyXoW4CLaxD
8fyiDEgt8rdSHY8xMcS6yyYnxGOiT1cv19+Ze5fxIqrslKAOssApgaMOntL1y9/p47iOKo4xrBsr
Gl0+6y3prON2Qs+KhFdxA6f68fCYOrVH0gjj+MLC9NNGo5oGQqzmAPkfPC0pNj0t+gFTW2Dm12Rq
qdbFmlvY8z3Gf2R+gFzmeNxDt142sTD4gbrMLPM0Wb2PticBH56elSJ1BLbvkE/bLqEsu2tx65bw
UlzssHU69PGlvYbLJzqf07eRHMURCrVas/fTYtjTR8XlTw+Kgv2g7LSewFsW0EthLxE5VoAddEeX
66weWhGnaDLh+cV1SJCTIEcT+MBpEp2zJ+taXLswBSL0D0ektvMFwuP5wasGIkzooPG1G8u14xYe
p7/UelImxEHAn96mB5NzY3hpfzelnSKKB/f9594pQof7S00iSsJsvoAWRe5Q0CTgOUy7oVpHWhnI
IfnWEVV77VWZfyYzw7tuzRpu37A6ZHYBi0YKMhuq2TCVzA46b/VbmKV6pGKAhNpyc4dnbM1kkofO
qMKN5fvxowD/CpbQcD70aUJqlOyea8vPr3O4Kg5aY8GSbfl6FC9f2rVLQeBtispo3LAuz3dsc9zL
NkP97OgZMbv0Sr9+0U1l1wLljlN/yDd+ooted0Qn9DL2AcxgXbeO1X5ayOqENV5Mz3ODvSh3PY1H
t4sH9JX5R6DGPFgvAp3YVMwBfLQGQRtqsiLari3baPPguUgoMpJiFB8j2TO+DdyzW65m+HEFcva5
koYBGIjBeHACFgBYDmWvAoiPOKA4e7YQX9ZkdL2drItzGbbx5WS0yXsJlJqTb/hAklv3WPbyealg
5HILWo+qCodtPnCdsCuzzrutlZ3DprU/D0Y8TBFqZ/AB4eTf03YsfGIip5Mr8HpsxdRZUZhaAFbi
Rgb7EFD/zTwQV7dfHfuxSoN228wKE9hYpcRh4hDEC1E67ripBOLR2jecL6Ul+PstO5b84KahHX8J
gwnkQte1cbNfA066G+zRgxMxqzQu8UcOXLoKdfIKuvZp8YPmSJJJQEidMLc5H+ngo+tEN2zH6hOg
DGqRticQQEyZQStg5GvtQhQoWakcFgunTCSKLLWcFk6QwHQWtoWq4TRuwHr49orLfmk7Fh4C3U03
cKeoxAy2yWzoW2kgUW6bpI11/UoU7zybNT0P+T2jxnd7fRpeokSlL16W5NABNM15Ty/TrKwlh36T
FnqSN4skvPRAjjOatwvWezky+EpHzqkjI3n6H3C1LsO2NKI8aHjlnM0EAIIPQR01E8+SO9HV9hf2
cZhx2UFgVHlel5wF/2UJ9FMywuioaJjeMpmMAvqpDujQtJNzOQ2DeSC7B+WL7A31rUZ4TDqDwMPL
ztqhDyvZHxVC6GlbvZyyl67hRFn2rk/FsHBEOby+rdc2QJcSaXWODd1n8okuuuhK2qAvHP5+pPat
AobB1lpClrcBmyBnGDQh/MryEhpBpgybT5PdtRCfXd1wzSrdwp60t2Rby2zx74Anlordwusdmqdl
mmje6xSYo+8TMuQwnixU3kHodJd7WrfuJy+1WFgXSa7A1Mo5I/ZhIC9KDFbyMPngq1g3kYg4qwgU
66Jv3ZeNYZ7bITV+9JIsq3SYwAjxnqlyXqjzNmMXD6GOZCfvQhCXQuoYhETOHPKl79AZSOZMX9Gu
4RunIcW2PkDiYcOULFX3sf5Gc1ILn9eXfmCJ2vzasDpODSAOTGluXdUa2a4M3Nh8tIwFMznXidLy
3hNEnN2P3gxPLCK9K0mDuxJPgsdWhV1ZtGyNgFV11K+RWB/ygGo5OcxT70Iod5E4msB5sALERRSj
NNr2SEA3k7fYh8oIqUF8W4vayT6+FlU/ksCXkluKLXM7g0s8lwQUXvH1d3fAmNJTQV7C02yExDkB
AIWzkLL1LEF1TGzPAqeG3rAcJpfPQVZsTYINPZvwwllUjG1F3BJqmm3pkA702RJabqtVbeQ8d6dm
pD+R9KV1V6O1IsyGRUI7wjBIFFQkvVcVP2hpueCem/hIDG+FFKgbEa43aopYFX4AWfhhlMtNODvT
ifuawmDA80LapnnjVvAqRky6nloqSPN4j6iNYyDJg6YJm9g9u3TazQ6xjWbvXM32UN/ybbMv13N5
ZuerDg6zCWbwQLCCygMjU14NBaI/waW6MZc2+UBDZvgkG1tcNyNkqQiJLQXk3B3KsCQ7aaQJad1R
+dU725jMH/hX3bPAz5Blm8oOaboSIDw5YI+NfP3udkwlrp2BR3jvuvD7t9Vglg2FtjHS3WMHxneE
C5kVhPg2GOM6tcDv8+Zi6Gzj5Imla69UAUV2U6WsNpmn0Y3rGPPdA7Bg4LGAjcqwuTOy/f3pVJ+S
fm7ZM77xOXC4NBYsWhBvj/24BPOQHa89tthmKfrHmU6txA9y9/vX+afTDy+kp8+Wy7H/n1XYdIj7
IW/69viKzBx838IVJRlJvKSVeIi7QFbqqvH3r/t2JMHLEnKvh8KcTB1Oir+egzmSlwIsU3uc89J7
7g1EgpWaEQlOBHbQUq7q5c7zUtbiDsvunwZkoCLeXl3m7pyKecB5E285pYsiQm6yvOb4qkteA2k/
BHrVBS3Gao9Lnn+areRYoitv8PUs7i8X4L8duz917FDh0Of5986GmzRrfunWvf7A364G850e1On5
MOd2ZnV0//72/zrvAqRFkHoDjF8oDhi8/d2ts96RoMSoXVhEempv7v9160TwTiM8aE8ziufHaXr9
B9066227DvmbpV0BuilIV+Ft9yOejGRMa9c98cC28dbOSXNNtTAO2cIYicVVH0ORYzFlerW3mH4h
86JeDhWBry5MvU+Ol6uPECnVx4RH/g+jx7dPHe/ONvn4r7YFXMG/PnXEpUpmFKFzykeneSb+DPqG
Tp4li5JTbZeVywF+1Biptimc1xv+6/w/yffmX/TbmDy/fepoYtJow4pi+sw/dZ7WzzPWOLXL1huy
7oRZ7qkicDUCWJuFV0UoG42icv1LgGq1x2Xy/IvZCTNS1WT2eV7rFTe0InqgXRdxTspE7Qr07gf0
uUOxo1zwbn2q5wV7lu+e4qkiqJGc571jtg4Nk0F3FatQj9pUdZPaC6dUn8o2MoMOCNfEaWg7DJDf
NkCYjA6XszejxPDsT0Dvik3DaWCzqoD2GcX5jsix4Q5hZb2HsVkj2O9FgB2CIjmNWE8Jw0An/dGQ
0qAz4z8M8yrLyFk7lhTfa+tr6QDcNlJNaJeNGI8L+GLMzqvY5Gs/LMw0pxHcXuylUZvWaVTZ8/JU
5/oUZajQusRrEtP5WfqPwYQmdZOZ5USSFx4GCHFu4EGCLxYge/i+59DOCKawJ/J8Pbu707EItxym
Mp243pmfiKvzmEQiaNwSqh7upgEiyH6k5QrBgUeJNmiQkEfYdR57EMkkDxaO3V3dY4w+ISYtky1n
mP6ObNkASJ6YFHNTz8KsiF8k2NRxT2zVxvVay0ADsIqLepZw65Iks6cNJDPQfHJ1+FqhIh5d1NQE
0jug7ifXffLzJSAl1KvfF7Wc9ySe2TDw8WhsHNmTOpqYoATxSsi97Cf3PdhM47DaAQfl1CZ81MwA
5Izjlic1PNHgr+5WGjb0IpohP6/YebcBxrdnehrtcQUnuwvLtkc4JxsC0UG2c+LIQUqw/dApiUYm
o4egz62LmJzHc0j066PINXV/SifIh76bfgfvON5YjTW7kA/96juKVToMHAbEpnOzGjaeRewX1sXV
FRvPl16+5dm75+hNT2EosoFyOwcoNt3j6cjmdoMJsCF0kwixBBJZXFuMEvviW50Dsg6QyucH22ym
b8QHVSRuF5DE0g0DStI/VBfK7HnMyCk/hjXM6BulZHxeh1Xrr0Q+PumuH+xp126eV8qxATzqMEue
is7ov9YxDtytRGefRh7OwGzXD7I2dk0cLFd0seolUqbfW7thBCF/v4hmWYAxdlr7EZM/TuImWABm
wfS1PhOYhSW4MGoCrznNE3OeTIV5XMEqshX09aVMcQtsO1M0z6phQK0Z5dzqs9mcyKkq7iyfRTOB
q2OBbsvqm3wd/Gt7QDGB/Sbk1aT+bEsau/cyXi1wtK6KNUvcUSTVesDIoNzw7ufEX49dM69HZpct
0RsuZ6YRos8mdEeYqGShimCnCG4x6L3Mwxczl4N5xdjSNa9DPM8Dvba2eZaqDN0tHN2V5hBLecgn
JwklH+xdz7mBg5LRj9e4etfHUmG1aaJiEiuShzlm/Lpu2Qms5dkdBuxa5+DVEF7QVcMlXi5Wgme8
sdZpfIKbWuImJ3a7fh6Wnlp9kShqGrl6152yeMdkOjTGfhrIONBC65ZhrV3ekJlG18xrMptWKQTk
2yFL7BsHT4LcZHFQ3ki37ODYEhjqboNlHBHi+D3O3rFPq0t8HX7Okgj0bmPDGzqR8xSM104HJwcw
vxsPWyx1/mfyMyaAc5kswqhM1traNoG3mNjslwC0ROdPnxrLaHBnLGG1DTyyNWOMgKDiSK0vJtV8
UVb/QcyTdxpJh3EPdIym28ErRbk1Coa9hyDVmB0ryCooWA3wGAeQxt4azOIqFWMMO9SAs5Wia3yw
i2HGQEPi+VeXriqQd2Gl+2YqdmAgoL+UHOEuHXq3FwC70ktMLhLIZ0dwx9wFrbsLAB1cCKPsT6Ft
kw3LDWQ8FOwzKExEuGydEIU5LvPKt+mJKwXqpkGXsll6CKqHehILq9/o5XLLOp5EbuI6+zlmwVeV
UB//Wzj+/1hiGYDa1Cv/vnB8/E6fqe5/rh3/+pl/THodmoSI/ohM0EXgP2pHX7zD2s8ckgmCx2FI
m2X/rh1fJr2AXHSGCFWiJs787Yi136HhRMyFLzOwaIr6/0nt+ObIZyOotsIQH4V2xeL3fHskssZh
JZ/FPQbo5zhwEiHNJi3+UIa9LQGZB6J51GNPgQifCfWbImxgmRZNEh+HvGZFHRGub4I5bj7XiNLe
V4hMTtg5dSwK3ss/zAb19/XruYsXp/rDdcBlQ2395iMyGCOFk67LMXFCxIi+VEwxZgahlWsWd7nF
bgTzsg03qs7EVq1L9n02cPXsPOmJLWYs3Hh0Aw/9GJSRYM5C16pJb1SQkwOYw4YHRSDbnUqS9WpQ
fnxXeeW0/emm+hd17L/8EHpejdieoyNN3F+voCmdlh7PGh5JGrJpd1AwVEZFPCExXx86muZRbBV4
ag36JZFlYhOZKLy3hK+SWNWjp33v1WiQGfwErLlEsFA4rvsxKFiNwhHL0kgyTpUNPemXa89ssPpP
Zdl6KKwVwBxVUIlyInozeFdk8QwonMJjJuhPogsvGerJ5eA3+Y/fX603YsfXVwoYPDP5RgzxVlLg
YmOtWo4cx5FOzpGGHl+eF3Rn2Yvu1nRJffz96715iF5eD51z4Gi3DpoCfQf+pOO0LSY8lVHyekkm
b1lRcJQOVDq/f5W3pzyuH35szJQcNRFWgpL85VVCSI+4c4zgKBHwH7C1/GhFmB0L9afx9Asu6pc+
kLZzAE/Df8S68E+LQp6gWKXfG+A3s4iZ8pW9S0PumUUPAJeKHACSbj2F47Av7paRvn1besXWya34
Lh3q9QK3XncrF4+6xBtdtWFaoec3lliPiT6XNrSUDxn35gfkjhR2BKCBkE1yZjkbJ+FF5taBih/Y
2VGhlPw4eWt2/P3VfBV6/PIpievUsm/f5mCIAld3qX761nRdhGlVzscpF9amIjfmRKCoOhmdLPZN
oTBfiObHDAN36+JGpKfr50eGpOCdrLbfF62U122RTdrZKLYdU8WPFl2jazdcnM8+cs6PtAJ30prs
eyusiKiQBIpF0ovLB9sswj3G73rbj7jA06S2tzVW80PBOCkfk88sZ8XR610X2Z7tHjEd0hDywhSM
bGzvROJlR4NBYdS4WbVLERoclGiCB3p1+QmZZrWtodP0GzqlX+moe1FFh+kEL2e8aQk16zbj6juX
VcAoYow9d9fCBmfO3TLsHryGOCYraY6FbIrHXtVR2QF3qavFuIEKvHxbFmDlRFn0u6ToxcGNnZxR
ipfa0Vq03tbwV+fWZc7zgASx+ugnafEDQCiK0sIMiVULZYrycgLpS8Wezk8+p92tX9nyiLijPOUL
ZMS1Cz3ow0WwBTdah9ATs+lm6OvuS53rMNBO7QwGYRFA7e9GYQRXOKeNrZNknHF9ea4qj3ftWR1K
zvA0j0Z9DT4QVe9cTz2tf6jGhl8fzDa/1Ndz25R5G6FuNyARcWq1KvHJTTFmOgRsnBKyny+duF0+
GGVBxQq+cb22GLvRutX4RZP9JYKBLA7Ui8GJ4ah4lrGn3udcp/rUm0MYdb4iWsrZ12nLHTHigx06
IZ6bTjb7IrWJeW1nIJKNXcsP9aKGqCnmia+G6he9UAKeatinqbi142ogW7AdTz0BppsFmkWgIZ3f
hOQ7l57V3i4S42vsphFH/WI7JuWwHWJYXilqk0iazEpspllmAvw7D+eEbIDkKk68zyms62Pa9+Zd
bK3LLpfex6Uvnm0My9uJ0SRGUAAAPbGkzDGldenPw3Su3SLcNONKYD050vg4CCvtR5PoZ5LVWKKY
TFpVnXNOaeYLI0jCQ6HmOlqMIP5kMKDmzeCDgZHFOLoQxB4S7EZ7nM3IJ1akL4heCrx6m08ZCWaJ
Zx+kUsaFuzbNZW80ZiRndwFPoEyOG8rn7L/g29yYdt7erI1urlvK6i6WxXJOKeOAoyUy8+g3PC6e
sTA82IQdTuFhx3QLnrMPV2ft0xgreV5/laOTPOWxNXzTYvUnMcrpXAEyY5AS9hsyypxLiWH+0PVF
DDDHHE+DxfNlLAUh2yUcAYFhGOv3qc5AZndbq/MIsDSZsc/GOn9wRrPeC9NOT2aRtDunbJwIaz9J
24J5gOV19WWGVGwDoLTXRM/6Eqd+0b4ko5zplxVbrxmWg+EFatMps9jH+bj8GHs5NdfmkpTbWPfU
1pHTEZMN4F12hcAlYeewVroktjm0O+TeQI56XAG+R8rphJ5ky0hpuVh7U31cw8m5wZ5kElRidoys
YuIKaVA343c6ZBOpHOZ6XOiFfE19Yg45+/mPL2dr4PSk7JnUFzhk0xvCQqhORkq+pqFn5CUh5/yY
OO0O+SvdRrygxV2ZON0TU7ZiW5io1TN82u8Nt10OZYGkZHK6Yt+SYvnY9Ko8oVZX31YjNY9lziAn
l3zIjqiTK68kdWcNHd7XItprka7x2VdaHzBhI4484TIvaup2F8qRT15k6U1oklLr4grYdT0oY4Z3
yc1KJgDIdmflZ+ywpBGAzQwpL1qAiTB3EwIr47bY8Cza9sLn8NUXubsTYereENpQRiuS9gOm4PVo
QmaIQn/AxovYM2pj6GHUkfI8og9kdJsSq0DH6DEjwnAngIScc1J+UNy4jn2wzKo7xLXhXvSyMe4W
XoB4PCbexIz76CzcJXU/E4mo1Sxa42H6ZDBwAhzupFaASK0FQS16oUAMHPwRfJbKbSKQqBfFhTub
h75jUbDkIK7HF6GJlpygkfGiscw5ympRCpCWBys2ME30fbZxCyaEfma+l+hURrppyXiQLyIXLr9f
fJVO0KWXUlUIYfKFpBDUH3QX+4oxqRQAGy/DuKLl5MwLapQ6sJ30ep7smfCEl+39v5OOP006sHVS
yPz7A6vWJp+/S/V9+fnMar/+2N9nVvEOUaLno7Gje/7KNv9r3uG778haoI5nFGIKKE//OLJa7wSz
DJw3bmhzoNSaxr9xp8G7kF/H0EvPvyyT0dd/MO6ArEpl9nPlxhGIQQwsKbiuPs7SN5Ww3UGoEWBE
juFoZAKcgwD4zLiwuID+417MpuzG+4R+yrkxs3Q4jVnd36atMVaHIreAREj24ApJRwjhJx7EJtaM
NrslByaBsJfdEiCO0KKooTCEXR6tszFdJ2SEiK21xPHDbNfuk1ePzyWRBwm/6mHsaAT2RbPeonp9
IBsBVFKNTnDTeCVLCTgOtZH07a6GyaElGeSBdae8hs5w25tPIc8nhBZCaO/qeirOSo4908gALWTL
D06eTyfb9efrih0B7ZRl3cWrbewq0Co/lC1hCkKbnFFNVqs8QWYhG8RBw/csRqA466TCaHVUvnm5
UC+uW5aGL3z/9OnRb5l03kaA0IVcgwMDprChnhlOa5E7kS8GflC5k7KB/mGA2XhVWIUfCTSkQVyj
rnvyOZdeee0YRq4dApE0aXb2kyIOzBh4dSuYJvLRDNK5EISBvGnEAJw6lO6GAbpdbCZiYQiVDAZt
7UmMT8Mg3Hva3lW18QZhXaL7YcmdXKt8XApCwilqButJVi9dz9nkt5VVOt8EiG5+rOkURrPo4nOR
zuk3o1TQNLCUH17en9Lvijtb0kPknycbYQyz+2odI45C9bQ35VAfOKWOEXnm6z5ruMhktPQ7aFRD
uvGJKb1MAgurz2bo2dcu8bakKaQZq1iPsLal2KcuYJ+DWHU1k8erAYS1Kc6rg5ZeOpSPfT4O+57m
6FNrmIG3t9olMA/cKutx6CvuhaAtzvmgoLk2zFFCpUjhQqvv3oNLKh+Rr5f3aSuXJ3Q36jKoBTkl
WFj3Kaurt8XFLqjKhuSCtJv0Y760mEZogF8YxFRHNETJnC16F/VAw4fMV6jr7mqr+gBLwNkUbtdP
Gy/siWzL2/XTSrf1QHRQeChLW/yYPIE/iczkirakQFeHBirPij0KiD69LsqG3xUOZUsp4FFRRc6r
RGKUjZ8TOluou7gKl6tsnYpIQNfaUmbEVxXyQlK5kinQ3VhrL8tUPJZDUByqAHfypvBSyCFzn1XB
obBMdc9s4Mnty+GS/s3HOpgXEvvGbkpRC68GXBfIL1USQ4hUlufts2ClievbbUQPtz4nMaf4DZMj
iTy8bN4rb61ulSG8/bQs1Xs3c6wzYjHEinaX7Cq6SceV4mhnU1ScU8oQpgo2usmpdMWHmbbeBoVK
wLRKsitP5HlsHI5aEQOqjJtqiou9bnHt7KZ3kFXGOY66SRmHrhXqaoBJfIMlurgAz+6+Ryln70Yy
mbVbiokAGtQyzjdgHZ3LEo/UsJ1m038aVyO7ii0r+bqQ3/S97uF8LXz1awvrtMYVOWFCJ2t3g6iM
Y5DJzzxznkI1a+SIno5JU3X3XcjhZzeNVkps9ChQohb1+oFq2gTRDtcUobcERtA2oKvc5YAmkEJN
LEbTb2TSmsauhl9GRmLZO1SMtdrBKHMtHmVQj1S/k4lO2FsuprhtblMARB9DPr/ATkVO9qmtGsLU
vBXG7hDnnFQWTxuxpqCgA6ndYRvKzSGCs9LgXqxbGcnSTh88H5BuxHm8iBCWE83b58USITSiKM1t
L9sIr1URwS/zITWTOpoW4n1Ws9shRbNPJMD4180y0GIvShb/waY+Dac5F7wE0/BoDVb5Hp9jcfZr
lDWkyK63tgfJeau8If70srJ0RR//COcK2SZETE2fs8zXp4jUa/ceEwlPKJGRW88wWVZHu2E65i/s
MAyb68OcsDzDwbcdHofJvrNc/ULU3zMTTcU7ISpvvZpM0GObdDLC+ppte7lWsmiWbUNvdKforlzJ
wHJfSR7/LZf+UC4R4vJbXcj/lm/zYV5/4q9Cib0QjYdOjAl8oZU9tGVfCyXLh4RJu46mM7ueJlv+
X6GE90uAGCE7lZIf2KV2x/xVKLn8kV5pAwAMPswF4fxHhdKvRnn9dizbcmm8UyLB3nyLoQn8cakQ
nznfUyAc+Y+yWmPkt9NkG12/7XtGzY95iVF/rxZREqmmFtf9ihO8raFMc+a0963hMOssQCs2JJgA
r0UWGJTsrR+kWRn5EtGX9lbC6snzRtQ+irHTipNyWACZZWxj9g0lY0tOSmK2IN0QfiG0KnPwaAFa
Y/jIHLkH0w0OgpTyzt3MWe6GMiqnmR7Bvh5z1WbRooBiG39o2lq6SvxHFamdSXRqLUxDBFujw3l7
dRpFTnqvVvd7q6YRm0KV+CmdGUlNXFyFiRvykrPFDP0Hir5seWATQZIc2ekAjwtc2ZTMH36qxP9V
l/+f3pIP6MaFuIlPTGCK043tn1qSDP/nCntY8s1CDV9ctU6W6NphQIZ/SA0P3PyGcK4UjiHCX/Jz
inxuC3+Ts1AXz6i4F87U/uAa2EJNSth0t8bJOmzXEkOy2vWYltfHlA6kMe/QSXfe9bqypaa7KnSU
29EVUoMf/mH282tznPEWFxnmKygiJk34T940x+O0mDPi/erv5sRCf+/WmdHcsbM16/vfX703sBFe
Sc9GUFoFTNo05uDN1YsNPfeQrvGFssaykfETYEpqOvazVJoIRfDsltBJncJ/JpcSjd22k1KGbVQZ
sz0+ZNU6ESiXBvPaf0kAqYd7QWrRcsEO70Ae+v27xcv56/2HaMzDtYbckrGYzSRP3ww/fdlugsK5
GmTzJQ0y2/UIJ1j6lYJklgET4MUkqe0QqlYBXhNxxg6gENhyT9besvCdhYWTLF+HYAUE6SmteuQp
RM7MKcByGA683gc0Lv3xDnhq4j0p5v0xspLKL+DAs3crqsNa9h6rQS2ssY/pEsb6TjEUduRlay/Q
D2/jtO3nT+uiV7JNBwiba2HTquFeM9fM6/K97SDgpq2ApgKZu+fk1XdvGqzMQtQUqxW7eBy6TzWE
/PVRrk3Oe7TaPKyHjVVTyheqafN6N6CTXh9XGirjwyg7b7xTOf9n2qR1PnJJUizpfGd2Ok+8dAUF
hO0/B1ErcM0E/A4ayhpjCnA8rYHBb9SU2/xN4pJj/kpGG6/yDi4UjP62x3bNMwXVLyeOVkkU/vQ8
QZOND0Y2hfx1XBv61Yxkab1rERZZ96nDNj8eY2fssqsSNwPBDBbtzIsUROlwHuZh5l6ag1hy6bIx
s5aLAJU1z6wJjYJ/dUFsIzltg65XdtQ4HBCL418fwM0JgeKc5JuhluiYscEFdc2a20/NieY0lZVv
GtWuU5Bcq13mt0tFBFRbwMX863d0bYd/T9D9zdKIW66ZyM5IV5drMIhs4aXnNmVtQDrDZ0per6rD
MYYr5wIM4C9MU58W5xqFG+HvVhrqVxSGz+ax0LrisrSL3/HxgOTo26UhfjD/IQqaRGqXx15e3dU9
gA9/nwvYHN6mdXObZ2qsw5C7JrEl0RCRQKXIT6Hej/19n/TAMs6Gg/vpa1fNI9ewmYkwLDlOwpOO
74MSvk2+Xf2B8dcp5tyNNBfxh95CcmsW/NnCUEV/iDzEdXbV4TCtk11jSP29+/bIKrDDhjPyYRo7
1vevpN3FfyWB6MR4DtWIAhJEBjzyfjvkWK9zvnmMYGwHlO68pYVPz/8kmli/FycEW+wBa/R5BJeg
K7hTxOpxWBhJi+Pt5VUW6O0jJpAqu1ZOwP2fDY6mzoXEjfC2cgddHC6vkf74j4GDA5eT3Gd9z5Xs
RM4xx47M9UlMwob7SO/w40Mb1Pyzs5Bv9kjFetYGdrDVEqR+ZDznC2QhvXikBftB3gmpH2mm3vxS
SWOGbwKCPKoq2g6WGB/8rLC5Cmnjt2o5Ih5VeXU1wozgF3YInHh/K1uCvqtFlske52O4Wu5xDkp3
lhAWH+h4ZuG4Rejq65UpLVO0SZ5p7BkMJK3Y91D1Cfvk3sYTkmDUW9+7yzJz+wcKhIuzC6upXOpt
t0yNhznGHfWowuzLzoy8OBfZTQMhgg4KJYP+hjlVLaa1p9mkRuNEQneZwb+UHawhTgYMB6aLIlY+
7zE2FN9N5wQw3Z5rZdV8mDrOaRPdM4yLHUZCClhDEHlmRmD0joWY5WbXEwBPSkXSDk1IfAflAwLH
2MYfdIxJHnOJISO/0ym8r+vkGg55lZazaD0WqWwrJxFJ2yFNLhEIDJaPozyEGx4tWa6XFL+f0Pbv
C1pI/BeSL8U9FIsMkeZFszYrf9YRogYlDLEeS6Xqaq7Stir4PmpYJYY1dNewV8kA3ZNjNfAt1RYG
Y5q0BMrwu8LO1KvgwMXnzjWzNu7Hvdm3E3+TSopDJwK+WK9LhTmSOxP2ec6NhFENddymdWYyKS76
1GB1GLmKPAuW3StuqLGTpNec+PYJl74IYCQ7x6CEEZpcpLMx8NKORUO/3bNcsh2NuF8aQVy2ywhw
Fzil3mT7fui4HWfPzRqDTVkurA9LkBrODcHgks41SxQWwLbr8QHvAKI0xApXNjvcxjSmYvnKvJKi
6K9yiFVfX5yp6UTDWAnUNTCjBP6yMIjyWFeJuSYgTK+LYRTuHBOS7n3czXz4rGHzX3Ya7sc79vMJ
5dyejGmfB5sWAkIdEj8HfQX/uq0ZPuo/g28NvSVaAeryzr2GCWQbKSNg08L1Y3KNhS9DOW1sTNsm
z6eRZDy5ThAzD9lMWPDaaztj2d0SAIN/a+Ov1uLBxp1KeW+S8/2ADixE9StxKHVnD1FlQStlHNqv
bcUecyExpTpXMe9URAwxsu5zxpq77gskm+U3B1yPvKsar5LPEwfR6Wb9f+yd2XLcSLZlvwhlGBxw
4DUQI8mgOEvUC0wSJcyAYx6+vpdTqr4pqpqy6udrVlZlWZmpiMDgfvycvdcOjILeHgozDN2OOynd
eCRVWYUNuqRu2E+Ti8qubZJorunrmaV15RRsqzvAxQiVG+5RyyIP+4UsnaSigTVjlspHLg1su2nB
r4GTzQ42iuCg/jmwrUHcewW5gGhHGwFpeQMZd8EUhDUxsUhrWqK4P/UJO1kBuLeY1nULcGs1233E
YKK+nHk5CKLrc07BpqX2YyAJS3Up0NaHOLOTmo3P6+VFtyyDv3FoqFkh072AYagX9x15E7Uts1BT
MZF8ukV8lLbTb0ldmVZgsKTdHKzJSux9pGYLEnEvizVljOy4xo3K61I8ovhus/pgKkmG0S6ozXl+
IIjQ6c8GbjDjThgCqlNf8VRDZfE8EkEgKVf1puiR16qDP7vxOqOxkczCg3kt8kOU9nCP1lr4NM6C
vHbsJJSoKhv/q1VmfvWSoPAc5y2pt0vzHVkiQplwkKqWBHF2bs+cJqoa198OuekisI5KaJjXaJ2M
PD+MHl7sgrRPWoG0z2hc5oNdby23X1Zv5zm9Y8TXrc2PyW7quqTnvDWXIvKsuykuawaMU53qDVWV
Tqncx2lxlRJbFU1tBP0ICAg1yjJKl2osMidemJZBMc9/ZbQZFVTroOFhWwlYSHi5G1+Xjy0bOK9D
Ijy9wtGm0xVmin3aivaMt6YYt6jTqcm/pIlsUJK6SUPT+uwmZcYu01d0wsBlScmfuR+I/GYJ8Lpc
f3eZWdrSv4ixLILD0JSp9wmOq563wdWReXCISTIatmpoXJZJt+uo7P0cspt9ELZLFYypUlfRwTIp
1rLMJ29sQmA9RRN7OIlFZB5albc6x0DYBSVRZQO8M07lUJr8UOoSn2Ov65atXhDLwmaPnkBvUJpA
K++5QKqSeuf0m2nmm7ZxIvls1J+yXu9H4Tb8vToKZv4wgNLkHdFdr1u+fxdkep2E2VXwj9iZFfCN
qkh15AMHbaDrVeKRWG1shNHe12lqqnrv2ZmsruKaYCtr3yula6lKSV2yJEGvr1FfV15v/RgMsneC
LRKUEe4X+yF6xQ1zzplrG5ity+VnDccWsEN6zanT60q9S/3awUAgcB1zzJesaB5tM7695RB2ZYQK
8XBQHxYSumgxDAYXlmUm099g6IyEx+ffV2JteIVwsjorFamsUMw/1CX+QLHNUXf70MgMGmBpmJrU
AXduOUfuJ+R3fJmft5EN07JIhTWH/gEK+MwvdrLK4h4N3Yjn/1qD+afkZp0yMwqex1y6WX5EchGX
kJwoR8eHVcKNS/CHKn0Gblt8eMkJV7suKswey++0mUiUY1OEQMXDUtI2sGa8m2Yr+63IbaoUgul0
NT/WCIDco6nibvRvmKLbdXrlRVKj55cVZTZNUQc9A2IbiOTjA05m/YrQodfn7ipr+AegS+lCzSoM
ysPG0g+YE2FWsQ+NLVF4aPuy3l2TcYzZNAfwV/yV4yiqQM9pdb2JsI3nMSoy3Qw1uQLZj2iFDLeE
/P/6n6YqadebqfAl26WV8L3sMEmkLg2xs8S6mHeU/rY/Xw+mA9wXnKDwDg9tx8JXXjmzgyZp9Cfk
bUdmWbnkrW54FoowXagJsr1ohX52i8oOqnM5WfHYb+OiY1RywR9QOhS1U43NNcSSXvJZ1dryE0wF
7faJxA9dWgdjzZEvZijVfhnbISV0qssH1bO4LJNwrsRk9TkoVdwD2Y/StPUhMMO+wx9jzfqGdCKg
vOTgyX3uF3ddLp3J5vzEnGuZx8NsO03+ZUwsfMcEZb1WPljER2qNrvbxMh9S0HMUBr9OxIBY8XLs
5zhGwbMjDNXhr2LOLO1uMQxj/uaMQ7PemAakpNBJVMJxZEzauDOOvqec4cFbCxz46HAsrr+RBPrQ
DfJJV2HtbOlDvgxaXcjHDO/Gh6iLYu4a0b26MzH7xhpAR4BTQ40SuPX6xFXXK+5qNZx5T41U1QQ8
Yyx5nDyXj6c1HzEJwknPmuwdlXTnHtuMnHn0j2SOJRxVcmKuvv189aqRIQuGZ6MMsIloo3jXIEcb
O/1gVJPiaxqRs+hHUpr+VH0wxTxXDRcE70bCim/0XEhsTPoV57QcqzNBr4LidZmymDidah5uvVmu
3cmHilIcfSaVXcvGZhAfwyGwH1k6EXnV/DGB6FvWqqypdCVKggWreDj9PDXOMPJ4S5tstFikKPgH
MBfMUQn2gNemT4E/DxYFoYd86XqdpyUOecsWLLS9v3LiFSNJeijqAR/z9E9JVXFLU2vQX32oYBiW
O9D4Ud8jK6tEfpaK5gj/4LrwRJGioResnttokOOQ42SqNkgbu5UGZeJU+RennvUJnTRYvXKQm6UL
XdxI+ql8v2v0H3pG6FoBfdFXxoqom9f/7Bn5MCsmIHHT1znq9TlzTIwicbcG2RAFAuah5ff+5SPf
9u9oU/kcT8lQFRpY9hYetaiq8s3e67+63qSbyD8fjQKeL1vX+7/uz4/CCkmNq12MFh3yNyJnG+cO
giWn/pqKSK9PNX4+4NQzizVr1/uf9doN/Ef7l/YbwgbknygICJ36oznemVZXTEXufJ2dktCSyyEp
gbKFbi8SXsMEVBZ74erVLBpDJdyOJspY4N4INezfu6YLoRusAUdevfb8XJl/tWB1voQukaTbsSdI
r5n4q/e//h+XyiETgMIW2i7HcVQVvz8IM1HNjJAk4UepNfM92KD0sZDNlSPU+x/FpOKffXIauIhA
tF3a5Z749HF//6ilKJtg9eboBQuBTVmnSLcRJgqyLv8yOzITHzDWuCwJi+fq8kBZMa2IPHVpbLz/
Td4+/XwT9HvaNw7kxaNT+/s3sZx4MYM5817Gzm+9a+Rh+vjalgaxBhdkcuiL/v4nvr3MpgtVjMYm
T8prp/bNbzfoc8m6kM63YkCrudCnUPqxZ5UF3f6Xz9Lt6X8+kGDEsXrwVDJIwCfx9kWzU/JRVOra
L7MVd6n4zjESEswpUvgnL6CC6UtcMCplpflvfyS9eU//x/ZdhllvXjvk3IhWsrz7NpuB3hIyWfjj
XWQbejV7/6PeWJX1NABCIX07z7V5orBU/34Ls7q2kAPa5QsRsG4pjylUnccCBEuDTQH5daw+zMEa
meVVnbaVZ+7cMaEVknVSr+2AZaKZxAQci8FtliFfRzgKYry4yse49Zcj24Kg/nr/S/9xY5AakQ0g
X+HWFn2+378zUZo+/jGz+lZB8OVbtGS80OSwFqq2X0eqqBxrFqz3P/ft407ZI1EdwxfRtPY/7gvn
F+KmOLl8CRLfGZZjtPjZ9GStUu9NXoRi4m9r/dtXnfwP7VXHqc1Tb+Mn+P2Xtk3n+DHP2RclEv0k
9DO73M2QUlLdxTY412UbBRy0qeIX/vp7AWWx/UCZUbqn93/72xePqSnOJN45xqSg8t5uBVPVz+MU
xM5nmoH0bJYkoT3sV8R3JP/lVbZd+OgMYtGz4XZw3k6Nck5kvmNl1uehqmV+7lWhF5U0o0VyRN+t
j2vv/7Tf1Wu83ORlMO9hyAutk9PKm1UMu+bKLr60n1uQfizdLQwg6guqkYX7Sl5yMVsbchiXJCBz
003i5W/v+x8X12P30GBG1HpkFjj277eZ9kxSWEpWnxvEvnG1Y81d8x3txiTIDj/PC2Ob6DMpJGBd
OP2aRhlur3vNpUfoc3KCnq4vTpm5urfKzG1h+6xF4HBMXwu/4k3p8qn2u63v9IY/Ye7OexYvOSF7
oKe4DDhJt0kEtiXZOJQFHAJ6OdC1taZ2xlYx5vTGsUnmJNqeUkbLPgTr3NCHmm7s9HnHaG1J+6BL
G11HeyrlUIHUXtfWCpAGX0v+nIx1nKlZt/McZzTNU79/PWrZCI4QNGVlxhZudjEiNyhMWctIwB5n
wiIukypnHvL+/X/7WlNw2HAisPGQxPDnoz1wpE8Mc12e66QBD3aMVa97D8Ha69L716zo/Y/U7+0/
txZd4wSvw1FMRDBe3qxgLOiYoDp/eg5iTzf3ASB4AMZReebGtdmZfIONID6d7sVsRfo0ZoAm/a8X
NMcBvUrJggeM//LfOsAqRO3kI/fJc46wrrxIy7YvH+18stsru+uv3//Nbx9yh1MRaUY+FFKfffVt
HgFAgDhNVNd9HhuVrU9uJvVjkWVKH2ne/yj7zSvNn46xjUhRDzUqRcrbXS1GmFUU1Wg/ArcDOhYx
N+jjfcz8ghZTmk2UZfAG15L/kXRKeS5nF7IlZ1C39Td4PzgdX9Jr0PN7RRwlB0Brhd3xYKYxmwzO
BN6KpM4S3U+eDd1/83sE9wmAXk/PZ/KSseQDaXYOP87IXYrAmBwLvayMpV6vOYnnwJoMg3W02Fc1
BpDz+xfhzfXmGqDxdTC3sVOCQnl7DVw37oPSG+ZHKFm6JAZlpV85Y6ppWb3/Ua/Qjn88z/qesniB
KQJny0Dt7fM81YphhiWiB1/Ur58FxsC7zkf0WWxNLPUsQT9rxAKRDlehmis9nvj1V+046NacMZlc
XJeNn9MFTRjFSmeXXUQrz8ghuK9XHa8qWs9Ulfl0WJDC8u6QM0ZfKl1Z1Mb9r4k7Y1o9vTUKdGhM
Kn1z5e+Ndalv+OpmfIrxWsUh2tcfPEL9piNquIm+k5AxY/5l9Pn6vvdAWXVL4ufsmjeSZxf4mO5a
RRHtRRD5FrmI9V/2W//32yelFFScJq4/HMEO+uo3hVnDLxh96DHfitGRn7K2cu29jS7h6OW+EgzX
kn4fizm4XPy0iMiCj6pjSb7kE55HvH2Vj3I26DC9BMaCJQU7QvMY0Tjqboq5G5Mw8Uebai+7LZlx
fxuV6NTGa0FwhQxRvQ+jCyg4MdPuzI6UkLdQJtiXDERxH1cEHONF1E4kxasiMMWWdn3+ZKxGz6m8
AO0YdkF7I9iV8r0g4+Msl3bc9mppdtRuxVNCrXmBgpXxXKYpg2wiE7Pz3io+U927l8scY1Qc1sYk
eka18sFmf/6ioAW6WteZ0DvUaD8b7zIQOmd4Sh0nQQdlGqLaGjTMnzGFQGk1VHvvia6jLIqGY0Zq
95753KLCikHtHM5TkAJ5EOV4UVT1rp+CkU5pkmUfBxDcjKuiIQfx1tYPazbQixaWkdBmN0Roeuat
6Bfzq7303WeiHcUj1AEQsbNXXuayQyCcLulfwr1+36Z4IDj2sJi5lAoEsv8RiFXTd5WNG1cv3C+g
uxA38x3+GrzBHhkij++/0b9vUD8/TCKU09s8NdzbigQIIqVdG1QvUHxKNEKzSVIBg41NWebnUTgD
jReEq7fM5mX+l3rsjyf/9WdypmRWyiL+trwf3A5buGjLl6aq6Bg5hSLrgfAShG/v/8jXP+l/lq3X
XylsG8UPvCY25LfdG5LfcnvkTPdCFBvvjGOzXRC3W1rpdk4KeVcRDXeXgoFQG7NwA7V1RpVi0Uxd
bzsXPbIvxHreh9Zrg4vKaOQj+21HnTQU/VNZUrzYfVWqjd1b4tYcs+pHOcBQr5iL3I72Yn8MMhpE
G2gxoIgATH5wSgxFWCFLj7ZpzhAczzQd7TZYXrI67pnhDe3eil3zizn3TkickPOXWuiNCI9LossA
yiCui8Me/bYksAzZzcJf1hcx6IufpE5ycAjNOs7rDBg2KJ4dI5i3Axk8BNbA4DsKTH7V9v074+rV
7bc7I7VYUwuxMJWwjb8pkAAHlcztEvlC3FSR08du883suzIgHrBY++0oShJey34eyDBWJWPWujzW
NIzPo/LGHhZPbHxY4agcnXWhY91GwecSzowbtrlxTpdKXi0O0A6ndB4YPhQfaoObtvGYSC/h2s/M
O7Ma0qJUgbyjbBzrPaHDPxYvS68dqdJDzojmmMa1+lCife+3ddSRh1Ekw6NJlMetUZGstfFma9o7
do8KHaRS/DAVAWSopDH5AQR04DzrY2ZvMmtQXUv2xHvhGv5VmiziI65gbLlM+9z5L4+9vnZvry1x
V9SgHqdZ+TZ3bGAWw32X0UuTCvfaaJzsSaXOsoBrrsxra+Is8ZdPtH4XvvJUSY5ZqG4RAmoe8FvM
Pq7Coi3ZOr9nKhMX9KuNEo/PYlwyIcj2TAB7Vno3bl+UYxZPaTz3V2kamLfGGDj79x+tV2ji7z+f
UpPl85Xl4Vlvm1bIwd3Oj6vqO8BTogu9qI4+g9NJRswai7tpTDuntVhqWCyc92TZZonnHhPksFsa
lEFAdLhBwkdbe/JT2uMNZObC7KoyuuSce2l3xEk8X3tDEp9iV8ZYjiQw6g35Snha0eqXEO0JwYR9
ubrqYHBZ9lneG2cC8hCn00M0rrwuWUheBpS/zdxUkbLO7h3WRCddlegrqCidcow3RVNUaLmmDPEE
aoMnd+RoSi3S3fc4q09JWTjtppXo1HgSmdOGHu32GxgFFVoHOj8zUgIGuj2G6TiEuqTOk8LfsqlT
5aGr9e3aOqEKm9qDCWD2I57H9NOAY/uHSG1iiLsxIxbl/bvz5/rDkxLQ3EEzCo/rj4a6YyNBwGud
fwcOaRIUPAXZV+RVC+N6bhlnKvmydkN08irj60KESkWXc1R/CwL7Tw+sryXIbH06BePtA4tEsSu7
VRbfQXEtw/b1hnjrkBRXaeH1e3Mdgwdcb8N+IWVop4JofiZ4kIz1pFuth79ck//wwmrkDMQU6IXm
H4rdtRymsSa8+3ssTe++8azuzi4MYyuZqFyyLw7XRPX1F4pchRNoFevcV5KN7BU+nILEQ5BMxNEV
7FvnB8r5BvA6ee73f/mWf5QMEkqF4/KKo5nmUPmmV0Vy6lIGjRi+M25q4kcqC7cDWyeWzdCZ4zXW
jZxhbrd6/tZv3fpHspoyxzhrq+ngEOb15EKSuzLllD/arRgYTbIL7NusLbjccSZD0aCz+Pm8/a/P
4i8+C/TLmsz4/7al3nyvqg5n85cq/fKbMfXnv/hvY6r4FyR9gJukmGjzp/8/MCVfMzrpK3AIBYTh
Yk39v4YLYf+L/4tOmy40eMNc2p7/dqYStgPrxGPuZMFook/w3xgueDt+2+sYklFHYN1ggxEMmLzX
U9Y/NN1F6ZDXqszlSGZ7vmwHq4Z66JL0dG2jsQp2AbIOJyzLtC33E8LrYGN3bXuCvQ+/cG0444RJ
YRoQI7q+IG49cD2gFDi6t23wTSG5/TBpX1W5WOZWpIxVUcgxv9iURocA11rEdvUKm0h6Bzb9TjK/
7Dc2uWT2rs2S9YAsvn5qu6W9WLTLi+aJCWt8XR9p9mMCEwwcdu2rNSzRLrE414Yx89U8xpQJH9mr
pSx/tZfVNMoncAC4zsphjrZDUh1TuabfsafG3ybtUpv5dz65S50N20C72NghMLRZ9OSGDZ3vDsWH
9rzV2v1GIEpxOWpHHPq8/jxOuOQs7ZfDc4LUqu5x0TH7zPeZjLMxdLXLbtZ+O0M774qyBPsNSh/T
lXbm+S2XmeISux5GL/Oi8uKBUTiCCVv7+uyAKy9SvH7TGpQ3vfb/9doJCJSovsm0OzB5NQoi360u
IMgocO74CPMpkXsWTLMPW788V9KKzd0iPcyHbU5pEVau+RHDS381YFLsaIncW11X4aqlICy2tpHF
UJ21t7FqB+eJhGZ7n1GjkzkWZ5gg1yg6owhJt4tj5iHgsfWMFKa7kx4I7533yp2ma/Gj0yxqAZRa
jjelZlR3EBIOIjZvBIHPNZur7VxbRjc8W5pv3ZbO/IGOqRvSodkxS0Vx9crE1nRsR3OyyZXBmo8K
/9alHXvOhf0xRVG6RfGTo66GtV1p6vYywN/2DLc8TiC5zdrqwzzPsrtogNeNwkhuI83wBvKH0Rqu
YSkmAnYGs95Gr9xvNB7RMQsidz9oLHgwTd+sKDD29Ss5PNEQcR5yCHYaLM7OVm7WInAAAbnTNuec
ukXWf1vztIUWbHIIH8kGUSjMmaT7tJYpMWcaY57A3EU04vMtOyDn8QDu3MKOcFEwLv9EIHN8UhqL
7hZKnRf6Whd0gJptRjMCXM88hsUrUn1seG54bCc0qyDXFbDHzUDsBLpnTWRX3gDDT2PaFw1spw0i
gLd7olxAuROyOqd7wKmTRpHSywP5nv0EwE8/cfCLQVLLvU2IwHTvdkznxMZt8sR6sgTPwo4k2vSS
g7a87f0kSj7OYoUDMpDJ6OyrQMfBFF668Pkk/gW+PtuR0WIik7baMdS6d/JPrZrG0xw4VXaaahuY
dFGvGb8mMzluH1r08eP9mKJ+xrn+CgKlZQgVNIcmlj3ned+u1XYd80rivXA5XS7KC1b6aqBhtzxm
cfzMyTUGfpNYKffHqAlZxzWBh3TGHRojs0pnzbifFhlvi6zy/R0k+T6PQXL54nmoqe2+Idmzco/s
DqzDpOgNfX3BucnhFFJF4IX4Hy/KTxkkfANvjolM/qHKBw+tU+MAqrD71oZ4bFjzzyHJ/+7Uf9up
LWQe7+3U55TCt6v737fpn//Wr23aD/6lLYyY0pn2cOLRUOxf/IhA/osjGRBA36O3hObuH9t08C86
9fR16QPoXHJJRfdrmxaQEv//0+3QR/Ap/ziTugwh9ImM6RctCzbr12PBP/ZpB/RD2YvKvKxMgzEM
EBThGVskwdEx7a1Z7XLh9PVmoQHT7mfDoe/rqd75Ps8FQIYSctdGDUt3npcI8TFAlWz9iNZXiCda
FkBsps76Gvt2/FjOgwzT2HM/jkL058aMe/SJgREBF8jceFMnhjzHE38zHD0E5QcjS/KjZg1fSkLp
jrQlbgu4dV8NAgaWS7Mj4mhDdmB/NWaBqB6dPBrkVbc2qxkOBeK3ciNgY7xk64JH0e7mMPJYF4JM
7dcF8CFI2GWLLNEJEzqZz/RUp2RG2VIa59xJXR10W0o8Cho4EBM6gdrQrupciz4AY5MtsYmTqVrD
Ns1G7wR2u3uRbd3Q9xzsUyf75GDP2UtB6DRK7TQNO7OBEzuOtn3I7PRhyZ38xstklB35R5wzSLWo
3CKvTo+89ARHtMJ1dr1lfJlzMdNiBax1IgqVFNSKjaDhzM826XN4xh3euLtVGN2dRbPsPAYkdlj9
IK3TEAQNkfZrED1RHcl7lHDRQ0u4m08aGXpoAmiUW1wiyCR2VBJQ9mmc2mSngwHDHE8P10CNm2aY
qwsvqIvLXvtXq6FkJGl7qKA3+bLgkxj62A+NWCUAcbz1DumaSM1DFDPSyy0vx2qBRIRmDIykiZWU
LBna4CJi/ujjADmSiAIDYnUWNrnOWB+CQhaCFIBJpkcBGoK+REtT/TFGkyXNHRokezZ2U19wZD7Y
Q7aY3SmJXbR7JUy01PoSd2sbc+cKNj+3CKCDiJB0FoGbJCIhw4wgWgaVdUrH9Y49xUO7JAr275qi
M9UMIVFD6E3AP2wI1AU3W9A4STeda0+7Yo3YVmaf0CtDPuSzS76MfYqH9sw+C6J3QsyY1gB7V8JT
3Pwg5hLyUl7tK2KXH5k63XJOlJuWj9kjj8fnPy7PFqL8vZRptI/G5Z4Qn+7UtAmmVTyFVxy+zJNy
Rb7vo8a+CAzU+nlndTs0xdmmFHN6IYaCNhnhQ5ekh6wns+HVtCl/H4PFhizqi7BBirTJkp4wM7gb
e6DjfX9Bxzs7ETn8FYNJcdGmIr5sPIlLFiL3rgU5VVN/d8Dw9mJlspYbzTYlDSyMGyMwNsqidxYn
yXd3bT7JmZ5sENWMMhoTHbVocz80hQ8cC4GEJtxXmy5dgIRl6z1RYrDlOBDABXBhUrSZdcO3zy4z
dzFasj16dbIcZ/iuClL2/MTh4vCyHRugy7lk8FPFa3+sm+ZUTe594xR3uZ9erVZ0CEBGh5CdHlKv
P9RmR0ETT3ddkJ5I4ba3vrnsONBCboDu7o/isWuag7/M58w2KJrdYd63CB53Y7R2IODFk+es6Waq
SlgzZfG9EGaLJHPytuT6DfepUZ39xiJUqqfwbnqXRTD1z0IBncnKGesDcpYN3Rx60JwJdiVa8VAy
6+DZUujOuR/ewabdEaKJhWXeFt9WuRAEYJvBhcdyeQFoCysBdqtrJOzZcaC1ueWtsG7jpLkdM+yp
Pj+KBs317IuMDCZWs3yIJKVGBh5OKVvcpXbjXdSqB2cPrGyvZhU8yyb5ZBodVYY9/6D0tY6xhLWn
1QOYRH1U/UYUXAxL6uw6lvXb3oGyHq9ecMozeRd57e009iYNVulf1pkxyRBPQv+RdWXY0tfHL6Gc
niQzexhDqHD9weRG7c26Ga6BMyd3zky/uJ3Nu7U1EJNn5XMX23aYBcOHZS6psJtEc1fkBnwYdKCK
1YX2fDSYKBac3OHr1eJLIlIqtITdoQFUl1vBIc36h6LKvb2Nv/+ePv5ZgbAMZ6vPHqWRPbpxQLVo
jF+6NfhEY+1kD0wdlTWofQkad5PY076b2lPtZQfOpxFXsRHXNtz4w+S33yp3cXcudpWj2dsPKpI5
D3Be40tLivHSbSbzOrGcO6bQV0WXPHlILDZ2se7MmlYMKy3nhUDz2ElxEm6Y67VUGf6N3zmHLs0I
PeXWlRs1xuRAeav/OY9i61NBpAAmTcmrZgjAjXJkqDfuGPBSq9v93h0b+xKYvb9pGJE0gOTrJMyX
wj8U87Cekro/9iq7GNMoP/SFiV80MNQmHQ1G3zlilSiQOhg0gLkoBvFNAERgwa4N/3pZTXGblOBI
V9k252IgkGyhH7ZTmZt8VbMnwskerua0YU+YikdLjMcqqs/BuLKxZkGws9v+fly664YEtG8jB2jq
808ZR9Eds5/Qm/FmhtCc0kukrieo+9ZecNi0sSu56/XsimLcuIRbbgeyMi/d1MXPbDgL4t7YeY7q
Qd0hkEQIb7Q9IDusLRWObqe6YdreERvRJl7Ys6+pdKqOS+1mW8uy1L4a1HBlx1UUprYNn38wUx17
+JgYk96ep3hbQ6YzfPd6MqX9BE8TwXescCWJpQCsuVkYSt6BcfJPQZevF/PoPIrZVF85RBjxMSqB
E+5dOTnkKkEYhT8lIAwRJFTAtOmDb6Ux3liJTMNeTP1d51Y3E6NN4kiNW53Y9wFIwMeuddo9TPX6
olm9j34nioc5zS8o7vsdQswRAFXRfGZ5FccJDteXbLXaHWE67cmZDXuXAVs5eByLMP4pTs/w3MO0
G9G8kNxRmb5xjscpf1IBjCMAX/4PDnDxFuWAvQFXWnypfbncy8mAkDT4z06OT670S/kkaWpsjcgz
Q1sm2UMVV+Zmnkyy3iQcGZrvqPWFfom4YdmGkXe+xynOghzw9WJYeLsyeyHs7utiGgx3iEb46HTj
Dq1lcl2YubtdRrZsmSmrDP20FUm4qlZslNkWl5h762M2DASKdFV8tuziCG4yDw1Xqh1K0PrOL2lo
sNwmwy2jFV/TipqPeAeONdmPD2MXi70VpMCfAnxTVxWpw03uf2N1LvZAVoMtAeXDY0rGhAdK6qCC
dtm6E3FmkcJJnaET2vaMo8IEM3YVGnVmX1eOk4a17TZXmdVhIOi75YqDfnCciKHYAtH8VsSlFQ4E
CVg3So3WPQtkN++cwSn8jdcTEnIQVdztRSlyNq/OqJ4bhsKXsbe4exrK6ZM54TfFylZAVkLb7tyX
iWN9rQrX+yrSKtk0ax8Hmwhep2EVFAwD19zWs8wV1hcF8HghYUGBeTIBG9gfIg4qKEUnmi7RhaZJ
lVQeKBLSMSbpJEJPkVy2wyT3OWOO+4BoipamdhGEZTU+tcF6Amf1Ukeed2iUXLdlr+bdADT1FFW1
Tc/BDUgQAeLVigs3EzgA0lFti7omSFUMn8de9KG9qmFTqQgzI4xKnBoN+19eHxMoAJslok2nfKs4
Or0tNkmbjReVOe2i1rnOksx5TMknOZBj41+S6ktgFILLMJfB/bIm+wJz7l2bjOJgWl+HIqFgyqJ6
l5XRoxW3pO419jYyhLP1EqW2nduCV82ii9Zbqp1siiMpCmVYtjPYVQycYW1UZNURj+Jj6GU5oamC
NHXcdA1RymuefJ6CngTEJtibWCs2ZaAe5xo5A+ACOh1peUlqNjMsyy+3HFUyHg+D9l0sFXtiUZ/q
WtwFUykOXoyouhoea1x4JJSut33JOcXu3WU/T5UIW4XdXCwoA5Xbno12Hvf4L+wnkhdIUaDf9zj3
XRkSiMBWtxjQbC2wvg7w4ixx6dvbDJyu8nJ9ZOA172tIeWFaR+lL3lpbC1fK7ZrylJPMt1lMAWkO
bsOjtIqrJhkEaTlBHw5N9YPiFxBo0u2sbCVr1chtbun4YU66ZL8WQ/kIOSLdFhio942ogp0QFDt2
47uwebPiDNnVJsYxL/eI85prz4++muBdtkE+eweES/Nts9CwCkDRhKi9qXosFXyAjnBdzctwbZs1
TcBmClcQUNi0zeWahLYLAxhAiDMBctU4jriI5HTFFPSl5rxRWMaz7a9fYuUdpNUNVxxzFy5Gvp+K
9RT5+bhbDeNQJD8Mv4G/ATnkyuoydYS+f9OkOiwnYXlMGj/EG2fuleJ4O9qtc0DuBOGYXrOTZZd0
09lAM/PCzP1Hl1TPjZOuX2Y5fIuG+Gtd5zw/tXM79GdZR48QguldzVX82TDsMRxEcerTleBFR16t
gf/JV/AJAhxYOZsjQaK+uo4iki6MyrSuhFC32UR1hhjIDPthRfGQ+7F5nUc1qT6rcTOQVu9v8nJe
2RKyiJ/LTtBgGlfJfiHX4NTyBH9e2uS7k088IxEZIolD430ziaIfaW6VhBJlJebi1Cqv2bJIQ51r
p6DAq1sJcaStbifyeY6jMTchSNf8kJHY2IbKbs0EWHNPMPNkpUh8RpdDjmoeJ2AVpxGa24mqOj8F
MqkOIqgI813W+HIyB2/POO+BcBXSSuvgA83A7AY0jvXDTbvhck1S70I5PmnfxZJfDHW07N1JtA+o
H2rmWfYXzvDZOa9wZEexCcsuHsOxq2O8erjDB8CdZySYYkdcwIygYkbgNnJaGqUw9n0ARBF9AAVA
VR3GyhHaZ8ihqiH6Oe36GPfsArjQMT/E/4e6M1uOHEmz86vIdI8yxw6YaXQBIPYILkEmmeQNjJkk
sQMOx46n1xfVNTPdbTYjjZl0obvOriomMxlw/H7+c75Dhy0QytzcGGkZ3zt67+wxk/7yqsEPKsP9
cJOSvzGG2ks9lDUYx+Vgq3GFdT7e6VXDWNGlLu9i/x3HYBa1nmtGOd6uQJN2zRik1mhCKt50/hQC
pggTgiZ8XKtpa+G3QhkAlDLP+TYlenpgbjy4N540ALdxy3Flw6UvF370dr0pwS7mqbznMuVdh1yz
dlyFUVzMOScKSt1BEMPfuPCq5i1Eh5W8Wzr/RHQYAyaky4ggrx0MRRVqI9ePBv7fyV26G6+4zPYd
wbZQKQl4qe/EqS/Yf3aN+d2uw2VBPA9udwtjze50TvfNvCbVQ674MTbwFnO/gGVflhOGQ02/deT0
WB887TRZ+UNmVEZA8PySOO5L4/kd2FG9DWco3TcVHAOZ2LGOH28drtxl7HTZ0trEl/IGMIZZ/7U2
8tFp+stCGCZQSxytCTSQuOWeZZi0aVPkEAB14Y9XIteYXSjSmVPZFvE+bUoFBJlibHNejhNPajjc
WiYRWTkjbV1FDIC/Rjf/lVFw5lntw9w3M9SNxYi4Qp44ol8kqJWtNcwbrlp8kvXFDfuxY/EK8f9u
1QeDQPyEjLLy0rV686Ckfl1y7eDlw2YdnSJsW732ueis9StIFmSTaZq8rVHqz5ydV2NJcJ+TJqV6
7WZt8aYwUVwHe00E6wpoG0Ug0snjHlMyZYFt1b8AIpINSTR+kJ69a6c2jZzZXH9g/3pwV7+nW0A3
IrMT276zXXq9VO6EDMpa5JTuEnDByZ+rOP3ydGAbq3EqPOeDbeNWlh+9Xu2G3vtW44JDy0N/r3WW
PpQzR21ehzpuk2htx2/ZwygsteIdakO6aS0qqjoK1UkPgwm4AVrcNfdpMavRAlJ9ZWzJ4/e8yR9U
ygFNuFFhF5QkI+6rYTSOGjO9DOakNIJp5FI+toviX+JNDiGChi8BqKAGRKSitHeDqXVOstJPStih
k88VgxglultUnOTIK8umz0p32XboSzuctWZVO6szCA+yHFOHrGzjB49TDV9apyu7YjRuU49g/+r0
z5rlVN228jpgrkorJhXSeITU5nBHWDg+jCHbwrXRWwOs1LjY9D9TGAsbg/Ijz/pF8zbkqXOsA0VR
Q/CnCP1/W6/ffTV3H9VX9z9uX/g3wwXnXNr/z3/8Zfe3X1MxGH30H//wC2rmsn55HL7Ucv3q8Gj9
K8j49m/+n/7D/waVk6/yv1HiyaJYmDL/453589f80f39svyv/+IvFd43/0DoRkoHu4ZE+CeQ+S8V
nqP/DwdHBB4PEIa3Rfq/LctNB6mdCBBBeCxxFnbMf1PhDfsPvNYsuS0hyI0g4v9XluU4Hv9JhUeX
ty3Dw3ds8Q2Z/F6o9H+nwoueDGnbNOIwtYZ6HTXLDbqSmM9slJwdWrtJNb0LQOIVV3fyLl0n6ZAb
8/ZJNtpTK1SHWIM9m5fKytp00A4L2YV4N2KUfxjqVvsYXBfiBgJ4uwfD4pJato2keyCYuZiPlpUV
RsWQUerugaukZ9wBeRXNj46RmQ55rVgbEzIvVIWLJ1nFwRUZJ96nAXidvrLwY/Pe2PLqFS7Sz6RU
+4PYS8/qyq2rUuemMTsGulbs9xs3FVa3TUvLkMee+zTPcl4XWBaC2VgWwsgVt9mj2yzGi7UkXYtT
pYHByHUZQsMODPZiH9jscmyjPmccUTEhdBZmhPHHNkqhNX7kdex9Jk6euBFIX0LIG8Vbc3RALUFs
B06qcgmJqbQ65qzGOBE0XrtwoFXkFOPWGsOpJ7C6HWGoMSQ2NCEyw+V7ilHk21xnPVcJJPp9rs0e
cVPPfqP5xQpg7KT7rMueEnr/+GEN+aVlY7DPjeklbzJzl/coDHrlJ/ti+puzO0lfMxL7yWYZswPN
6JfGUqd0GobXLqlq1hiYxqqZ10k9cqcYE+d3P8cTovT0tuaYfAxK+IrZPCRz8TKPAAIWX8+PpPd+
JVkDAC0uhqeVK2dQrxoHNn+lmgmghSvztOtcNvieUe9gOV7pQXpBL/5uyqw/rWR4obMkd2vaMrEM
/VtTdUdyffW+6OkKdCmHmpFTcdZJTlgJMUKR/0+hqIAERlcQWsZtWms23CK/nKx2QBuv8cPkN07Q
iRsLZ6DeoTPjqFgGJPLR0oOZxggDU0XEIA9bR6c7wJooi4uHUl28nnoG17bEwW2ybFvDHQKRwZX1
T3RMNhjjrhrt7JeXtvNxVsuyka2tXRO5WAC3ky9KHJt7W+uf7D6bnyhwKcHa0OiH0TbbIxg6wZAJ
hzvTYjPt2WCpPds6cC6kW6UMf5uAYwLNovlAZqavxi4q0D09u3zOjgBPSlaH8Zz9akyrCeEUgFNL
2CJQqNABq73hG+oeTXVFULHFiLlYY3InSfms2ygokOBetDI+rECmg6qTbWD32qu9sF4xizk/pq3N
WAAB8/tGen8fVjfM9T7Ii8m6WQFbxyKDKDAojsVwcuBzPdBt6LXY5lftu+lRM4IRPqqNHdIT1ELm
6HPhUs3a3ijEcF10OkaeSquQD1jgmJHaWGV3EibZ1mwybxO7sduFOu3zz51T9WEv9DVBam2MYz1w
rQ4Xs+d344NVrEHMHhtLnBmKeBwfCJPp4TjysUj8m7LjzfPyyR5GiE3iWstx6LN6z15omYCz8NGa
Q7iYYga3pNu33lcMj3rbsmxKwCdvUcSH9HvJO/jc3uS3NJGKVk53RHm7t87m02JwM4RlTNBHkFfz
q92UedBfWs3YCaPhT1ZQbLTk3AfThlOCuoWQ+A/gbwAW3K65gDBAmJuYGW2HyYMll7f+nDFLv7iZ
nO/KXPvgkXpluhUBEeWGAvb+2GtoxDne1Qg2cw7AOvuEq6eizJDZS6Vymgvp1s0uhlpG7EkDOFjs
HPpDiyzRlkbhBex7/bOk9+So+/2WBPd4HodMXjHOa0/0s7sfRmVnUVL4tJ9XPoD+IUl5jKfZMDZx
U89bhg5xceKFLEXcdxExp/4OCbrZ8HXoydXEslO3pxYh0HkE8m5u45YlodaW6c4tx4cSLX2TLR1q
okiNIAaPyrtk9dBjHC585vJWD429BzXk/1ZG9whJg7txV1Cfa3r9T2fJK3pwgWEjkB2sUveiAiYb
jDXqob5jPC0byH3aCdNMSr/aoEe1WP2NbGbU1MRLtrGlcx54y10G+vp+1cR4WUjI0GIzuFFWz2gN
HW30o2sMm94ykl3qsxMVk+GFfp4PgdTVbuEayhncXwjvuSHbxCVgR8onkeKNQ0+4NXAmSPuJPl0J
9HLV8FjmNlYFzRfC3b7ldqgtrX9QYoxx/M6COdCvfi8AqTYCIYyrJM5P2RVMjFXD5QALfffsA7SL
TA+HW2uVeOT79oDBKyEZLb9ncglV5jYb+mOGrbjxeycgMTQCW80GKEi6HYZqPmpF+3mjXZd9PJz0
uaTqd7LbkERxfW8wmZxxmTTItgt+7awXh5XM8h7Z0w9aST3yyPBMVhN/l+bxZx6KHKZUVXDetc77
uoqFRJKrb9KifzeaojjZMsYEtFBkFZtc/7ksUWFUjh07CATXqSi+B6f0t7Nc3xN5g7yvPmdZzgx7
iRs9Nmhmvl3U/OTXrVkuxEGuHuLCiImf693dZHkjL3eMd45I3sgNfUu//bL6rNxCSqTWebZeK5pp
uQh37UuJZhusymJ+H+b+Ww0WSyDyrBHVEFXgdiCMGrvMH32jkQfhGet5LHr+GtzifahiEXGYNpza
2fjqLehdXKuesgzU+5gQT8hnj3PdycpfRt0bGGKJig1W5Wzz0V3Cmj3qtsvX6mzorHVhhOE7MJdf
AJYXZB6H68ONBjMBRkGgbr2XThjrQ2F2ANbqFTciLUkIOfyFSb79kdqbNx77or/0U+09ty4XhskU
yxNC68EpZ+6ppZ88DhjZH+w+zt/cHAKw40xhUyZ3ltF0e3PwEjOc01xuKOzgLzrNUuuHT9EMGUlH
0Xbqbaw1dgwskdA2sSpM3AhbarMzZ4R3ljTGJ3mhGhmdn3NgSL25H3UWpQIv2N6dbe99gtTxNoj5
dw4Q8X4VppZvbtLMPsfScW9XzrjhGseq1hISOYg7dugb400wsG0+EaK6tgBSrhMbdxFyamqMGIY0
Qtvqym+WFp51e1ATfqauEJhGXOXspNRtHhnQW81edf4K0A37d7Qk5pOEYBO6vTh72Bt+dkQpf0EX
OpZTGq+0E6WwaxLzk5Yf+6l2MuO3nuRcZrGQ+aQp8Xwe5NSoNsiKFF/lbC/zb1F6ZSSboXtaJ0XT
OYfn5UaG2fm187A69Smma9eNRl4H817X1pyPszO6n3HispQ1OvfepxPi1UbAvuhDZkcKKufGzkwZ
ykZydVetCxesN5urMi0Ffo2/iru5YOtAXrmxIVvKIYlW5fVVNM7dcl8TEtwlusq3sTv1W93FgSr5
vna9crRdTqdutWvdMnvlNCteecUNP0F+i6ci7+M9tVnZQdgTE2/MFretR8Qplue4/xdnKl8SI8uX
06jhnPBXyqt8zeCBSAXNu8Sl/KPR4oFLq1knw4O8HjkjLs0V4fWxx3rwim49fNpyGiESNbgISeHe
k4hXPxrTRmZ1uybvIxNXIbISpjmmq/XFJ6mMnG/b3fSc4EGm68S2Bj9afWk6+GYly0kcMX1xore1
qjb4/5wfU+ytzs+k0DJcc9SdMv0Mls+DqDBAUNlAI7tVWNCbzCJ9G90Jq2/jDk/lWi961KW1dinr
OXuLUbe2KvbgpFXrXB6GoRZR7uUJmw6L8rugq6bqVQDGeBz5V/dzxfGqKv9pqpiNO0Chv+qqBmWc
uvnW6ZEfVc1ISl65BYBYjdWznmJgJTVr7CavKs4kkdrtUiEaNUkL70ZbSypslLS3k15Pj4A7lIrs
la1tPgKLHHMdmbleqb5AstsP7pw8GNKMl6vn5qq5n5MUv4ifzKJF7yFIDVjks5Kpv9wqjQfWkd0n
42bmDUlA5HCynpo+wTbCMbawk1MdjtG08gNyJ+N6KmdLC50u1/GkSCQPs0s5R0lQky7pHHPfk555
NehvxtABk8rdY8yV+i/s4XEktDxOztk4Zm3AR1jlG8NLpshhYY/RQ3MnTh9SJ+ex1yRMOV+/zm3P
XUBvaXm3nTQa+0U7tpOSB7aeeTT0ZnZmL5yFsTG435VqrN+ipsqF8m8sXLu5ks9d4cfZm65bQ1ix
Bb/0PI+Bx17PJuXheV8UzSR7Z6gYwfU+ZSOaKfcFm6bYZA6n8waXdLHtjG79EAzWp2lBriu5Hzeu
FLuGL3tcjbZ/lDKTP9PZqq7TpNvHlfVvaFSWjGyW85K6zsqkrvEWNxQx00F7awYvYHyifmHbIeoQ
gSrAGcIUuenxKeC30vNNwruO4bxdNjNb7c1QugdN1mPUcHG/9knmb1UhjA/bmq19VShJ+RgnE61v
3s0OlO6yxBxJLtne2cwqhx8vOOxfpa+NOzT2e3NO/U9Rq/uR7yRQvTAQ1I1l3+plyyg1gNHlSjsH
Oh7cDZ+bdiv92d60C71KNR9KEeh5BvoIIurGL3mNxzOaW8dMD5jarfYa3O8IcuwUYl5B5oWazNJN
aAt9hKa5bWL2PrXvavc9ob2rnNL9TSq7YEioadOuTUoLgKduSuAjXxKs+SWOs4yDtmXf3dDIVHQc
/IOkfqZM8RSostqooh956UzLY9oL/26cE9rA68zZk9SyN0YpODC7Bour0B88j47xrqPgMRxk8tG5
kGHrhtJFBrvWu8N3xGarEgXaccx6CyP0W4KvMTCnrmZjxybwTZPdW0silt55b2fZsy6CRo6fYubF
ygp6PQD9pgSRiycpUbsfAnYwZYgJD/WB1DUdLOUHbV/phoLRFI/P/FN6XCISL1rW9pOuzZ9dzkaj
NLBwb+jfZDszm1gh8VYGJeieY5519kfRodlXiYAGZy4Uomj1nJcbheo5JNbcnjGW1HxaOneni8IN
DWVl5zJJigf0ByGiwZoHbzNKMd51PfN2LkYjam/yz+x18uC3bUmH1bjuk9wTX1PNFS3HzbVHT6YS
R2uNx7x3UQSk+t2nc390KxyHwitcFPohStNFHjzp4EszNMwEbjU+ssbEhpa1v7ivMYotNRtLa82r
Ay6JsaDRq1teyVp0AXrPxTSr+IVR6jnT2ptdsHdPKUVIISR8BscGQNO0tl2QDpqK6nF4R/68YE8w
gzQ3XsD3FGE+Wux9HOWFk216ryQxsQ2Q5op84Y2hMcT2M4sCO7DXwjjVS0pyqn7DdNjtKb54Uo7+
TSqO+W9hOqoTWT+ljfFmplTzmmNtfXZ2qSKBLB5JrXqZaQ/+lrLS1m1Sew6xLMmuW5sl/VWrU10p
GRDYTpNcJyHvxe+jGIoxmMeR7SnozivOrhWV2otjZKd+mkCoWgue96rSuePM9q6gtuiKG5JyP2na
jcMfL3aHwFM3mx2wsI0jCnU0akbJlWQlV534Jv1L90JHorwfkZmTQMctHlC9iQDuGGtZb+hExNs3
iBRGMrmaA/+Df1TU3reRGFcgNBweXpb+2Xx5XGxerro5/Y4LObS7QiuSzexgknBdalDtcj6uGTFx
TegvildSWOo9qwLjpgXKOgkXf3ADV2epzTPBlJfp9s6wmYSTzvhzFazGaZ83wx4kw3viYXbhAx+W
mRSHItEuMZgDADckIfLWPUp6E7aTWbgbt3DKo7SR/2hX6sKaUT9kMgXpY7VnlYyPft59iirjEx9j
qfLn+rG1ZB0hzLgHqIMGbBD8s9xdEBDXSrufDOs1063u1JMIjyblYGMqzXqXwhzdZA3+NdoLtEjZ
Q3eo+wRnWoNnGUfJpwQS+DjQQbTP4wm+cbO8F4mOctYv5tYtVBbkWIpjG2/G5NGJ6cwLYj7UgenL
7tzxibOP9mPHVqFLFdNRtYhRQs9DiiCtS6k8LJEA4QkVCQCKvlNfrL7swng1LZxwGc3jGzfRq1sx
CfSclvej7q803eKE/Oj0pnmz8YFXJAbW9XdBPGkO9aXQPm7o6nsXrOg+54Wn4E66896j4ODsEkjB
Q+jlaTRnyVFpVrIxq4U9ZFzyaCWy+sDC4t03kxlf1j4dfmuZ850o0i/ssrXu2CJDP64A9UM7c6ca
d5SYfoBqHh4MI7XWO6ytmDgphWh2qKBVGvi9KXGE+hS04dh0I6fI5kjCaFNhRqpqm0nStRY1DXd6
pmzySLwM9lk8Pi+J/YMJAYNmnDTbpF36Pc/BsnFUBwTc914mjyWXTGvjKRElAPHUvPf0Lv6oZmC6
uDY8si2GcTMVENE5TQZDzZkuwZvVckxPzBD9vE0c1YQqz5zhaNWcP7hqMA3skpjGB0SiMg0mtLAb
FoYkzG1HxXgHNMWm5q5RL0pa7alt6bINQP/7IhhInO0WmcfhwrnwRs2Gb95NmS2eR76AE3ntsL4O
BcVkPMbwuU0EaqLDNBVfzJuvzOXTw15cTv2OFDmeVAl9KeKF5Qe9GhImJiIyASx5Iiyqv01CnDJv
FV7rd5I2Ho/2kPf0YqQ46dmwM7RC9KmDBBxwSNBgfrIH2SM+iUI6Adcwj5+E5r/Q55J8wsfKWaVB
jpuBZyzLdSnGmX45HrTNSro+Y6C/0SPYX8MuF5WMRlN+EwyicKRuH6k0w75M/uYo8XJGthymXZLF
7SN9RsZrnjOBR7Z1CyIpW3/oWkLROGpGDwub4n3KWdY84JMeXzXieEczbdFlKjwNF7Vo/WtBx9+d
ICK9M7D3+FxeO/OxAyZ0JQHA9UWRfjrhjjaI8uN0w3Q9EgkyEUNnY+ApbWqO1aCyvdpgZqT8leJb
/C7uBO8jGiZUwcBUfpLfofD3vE98ZZanXDfwUfXOZPOTrvJN3Kskj+CWPlDmYIHvWKSxIS00P4vV
TY65xVFZlxTRlqwN32K9Y1Bj24fBE4EJC66PUyDJs/Z1cGz81hpv3QSWOS97qFVcdrINvUH5TmqT
JyjXrk4qnt3DOIl+IzunOEud6CeTvS7OtBxMP8g29DOGm6yKcB/SO66smOOk1x5l0co7aL/evkr1
ZNONq9xNnbBCE651guNx6i8eGcufqLcaL7FJPgvmuzMBBNx3PdM/cqaLSqOl1yUlJegBiEW0b3IK
HbrqMmBE1EZd33A4xXsntWHwkFTCu8mjYYKX32SteWhS3XuoZ2cG6G2PR4dCc0oR4zLCQ67zofHd
EL1ZHTvsyxiT3OJMP9gvigh1HNSLgC62fFCDkIaGBesn9nJkRT2u0MrU8kJfabx1Fb170lhNnMyW
t0tHeutGRUkdTThoNk1RLwZC2xql5qxHN7wAaICGWVas6i0rrSXkqkDHsZoddsm4fB4oDkEHJntS
RoB7xvI62wTVlpSXTW5jOEXPGouzxt53slnfoLHqTBpNutUL1tF+s97Zxcr/L+LHDjPA/QThLTDG
4sXvjJ9mwmFN/GqTWeYaoZR8+LVyAh9qTjQRaos6egai2tWaraEXmDOtiixifl3h9kSNRe0xdtM1
SJL1ntIeCinz9hWAU/5AKJOeDmPPYNXvxtUa37WZNYhhaj/xuApy2EzIc6tlOznyop694aPy8/Zx
GtrHocEZE4jG49Wu3y6Caandg9WEhS0o1QYtYZytUfu0NHe43IrVA8X5H1DeACHL8q2f/WTfKhbn
8yjlfFBl+/r/ZCF9yX4rmka++39cQf+5Vv73/fT/R2trneTzfxr1Pnx+pM3fr63/+i/+Wlvruv6H
wI4J38gyafax/j3jTbUx6TGKg1gVkwBnOV43qk//5b9b/h9CCJ+ANyRH+289fP8aHdP/8AE8OGS/
KS62XWH+V5bW9Nb8U3Ls9hUE35bvsZ7XTe+fOFmFHreD7cbQZ1NLOyQxXLFT7S6LwbOsLwA4OLqr
wqyPwFSd8mnNpO3/gmHwlTar/cRZa9qh3pjPjqPPr4WrZSfbdNGDSsNDXZe1491ULZBE7JbWpb9q
pZG0QZpMU/tD1G3Mpm7MShPuk591u5Gi7vzONVK/xfhRetuMF9sBNALewHxoQ4LivByr0sIF7tnb
NNNZnhA4eCywQZPXEFN8Lk0pz91g9LvFGdujQYXJJ/0h71bVe5+Wj3YKnc5ldZjJd1UVAtdW5Ryw
EuFBy2lAn70U65FrqPS0Lum8F7KxaOjxtDvs4jGOYBdtHCOCikPlG8nI+0sOOgYuuyt5hTIv5vcE
HYzXcZnP1sDcpWczg1GWiuvS1c21x4mJ9CJeiTn5lJRyPoFzYzVv+K8zcvdmFDz15lg9WrnGpn9Q
xp2qKnUgORJj18sytoTNdEDByS50onz4fcuzL7HP29IpTi32tF3ZaCMOFTfGRGCb26LWyy9wsxik
ck//wgDktSzSVbP3jewL1UptfNrOfsJMhgmSZDnmJ+kh3Val924YQ7GxXaYuxsrXKqte8QFll7qV
VNmk0/gW9xp18SylEREyN7QlrraAuXS8JdnHm8cy86snlwPLCWKuQofbJ/JHO3bOlkYseDnsh4s9
e6E2Q5B3e7770Y1qbRzNnRhNZ4kk4jtFKoWeXK1CLx6WpVvv4ykVYbpyHcH+SBgpE7PN72I2Gx+i
zg6mC83I0JSzp8npyrNdyeWcLo55IfKOdJjG0wODntrWiBa/expQKIEQtx1Rwd6HWBqzTzJZ+q5y
8+ms1jjbz3RznHt0UIQDZ0poOim1kNg1gBu9r5NgGaR7wvPK5Jf1rribaGIIHCzXZaDqm+OcGjg/
SLxueOG1NEwkLRdjS4iwXULgAllkJCmkvdQgWaJRSBkQqvNPIwpozqwKUyrEYKJuPa/nrOWbcltH
HjuSkD8ShUmDIIuRfjfD2mw8r/T3FGI5Z2Vrn6Ck2UOnwNmA4CfsyJWGOHjz9TGLmLfWIOG/0kXF
Ikq5JxnX2UPleZixgWX9Gh29hJ2nO7+LNl6P61wR/HNGYk+T0vCH6v30028s80ErYjeCHUTJCaY1
WoOLaTk1k4Zf3PPi5shNYZLUKGEiWwb2MHgBWKu1fs0AMt/MkaZx6IxCXWmLtHdAJIcXO7WbRwD1
KdmbuIC74ycZ5c/kR+zK9wgYsDnEgggPh5CODzDFnWjgxKzFCmREsexjgpuAhX+Mc8veamp1Gq0Z
uFFr+ZHgRrlQNKMeHKfFduep56zQnKtvDntVm+v9NAhWO7N7tAceazQrA7tgXE17b3LgKlTUaeuT
3nFJkd7yVHSlvFTdaDwDZcjf0cRYqDsFKftJTQdvydL4UAvffZrz1gh9Kr5MtjGXijZ0UTfTY2K1
6rxgumNr6Im7DmE8bOw6DeuKCNcoWj9KzInVYatDXLOdO+499cHQR+NQdQN1iToG8hnMHHuVONkR
JE+jOJPPmiuXOFgoDnpa/XT5qoSkHlhzF5KclfXoLrTO8FPElAnILg31jMAjWzEZAafuAxZmPTZ9
QJh1Kawt28okdLzRuQgueEHTcBD5xPqiuPBJmTQi3S9yKlFoiGwqC4GZeKrtvPESXPeEorUvPW81
AiepGS6ONXznsYZiS4nWtQPNE0oUi75pxUeyVskG6RTMRDOOO6oHNQzKcZu+GWvSn1VVXlEeB1xJ
rApNvKwno0wII9e3oZ4WmAehZ/49anoBVXGI143FLXNXWU3GQIZ/uCu8MRrc1PpKlnrcTO6M5yEd
CUi6oKti0BihcmztTKEXuQFpT69yJnZi6XK9OlxKI9ZHztvgpTwbNDVHRDXKA4ip+VKjnXFgJbhG
7cx6L8oRhdxtMdPG+JNxZOkfU5VYdICvP+KBI92YFmNv03xUYfKObbafBE+kWL0DMIzrKvQD0wOh
Z0U4fVMIChyIQts+Fp7xcZJF8qrNdoXcUXUslOr0IS87oG1am0wvInHao28i7CReiozNx9Hfc25q
YcfGjiCyeV3X4WEAxBe0pSipDcDrafPZe84XozrGDe50mlp3ta/XZzqu04Pvaddi8fmowXb0CAzF
SUj+xdtnaFbbxOvLTWcO4DS8+JwXstg1TjccYpF7rFzxTE+ysg48UCzOqybbJT3eNGMub/JoXJ0T
W3F80170wbBPfHwUzmkdO/e37pblL4Xv9M7uFFN9ZWOKsn6Ixeru2Em052ky3QM9ZOvOG9xh09ru
+KOr0uFoO9XNSN8fUkTibVtkzW4cFpoy1tKlGV5LumNmxAPQycS6dnRfPawUs0XI2fYIYPdRx7n7
pk31dPZ5KyM96PH4qmeZti/X0T5XMsuPRmZvGzNHNTDEfeFYLzNXQVTbqtxkNf5rNxnLZ5gw8ma4
be+l1+vh3NEoKNr4yyuo93YI4e486vXYVnflvgMze04tazpJu0h+jj5mI7cDMM3+so0Iqq/fdls+
p1VNQIM851MR8y30IKlDvj/qw3LzMnKqbmSqv8cd+b+qsdL7XDbnctKWC/fBMwVW1o+yBQnT5qa1
sci+7TKV+ttsLuJ3NSzzjlyyep+12sH8A+uaW9l4cKd82LLPfUcWxkAhSPwl0xjQ31ptyiH90AZ7
iRTIl8Dlsnj0/SVwC2g4c39yqcAwCGZX4x1OmYTMEpGQVLjljxwEzBNDFeXxrcer3qZMM6BwxMvv
m6bXCacl8q4k/VU55q2VTKjLZAJ4q2db26W5VW3xvCRnl0I4pPp82CdxTtYHupvz0NrciAiH61uu
XCpacsgxkzW9dzpnbeMScNixZVrv5YQnsrCVfsRGXG9tb5o/Bi+myalrufTG7PCwG5cJio6ztFZE
i838G6K2fHeWMRSMuR9V4scR3wioyqrd5hVsk3ChW+yA9d6DLV5o+2RVhRO6bVHhI7SK+iJnA4GH
zekGO3Sb4ixJPhE5jMiqV2KmlQPk0vbFfIVNc8/cG/aZKLeTQVWeoJCeZUKssyEDIMRLWEap5wnK
HTXxjenVDnooVcHQo200Tp9sdCjVAaOH2rCIe7TdtQBrjkR7okdUhG1t5AfBj/q90btkb8xxvHHZ
IpCjXrriqLqhIyyudVE7lejTLa6yn0DXlb/VB+IG2SoeXRRkjN0ob7AQe/33LN3yHpcpB8JolCHW
K9rqajRy/Ykd8pDHUQwAofmdDRVaelDVpV89uzOODesY215WnPrZ85vnacH66Tb956xpmILq/8Xe
mSxJbpxb+lXaet2gOQDHtLgLxRyRETmPtYFlZVY5Zjjm4en7Q0lsFSldUjK7qzYtZEaRlZUxAPB/
OOc7VMqrhGXCbEPyM72epVjibJwgTj0GBQqSLQINYoHVNH7Tro4+h4BXSI3gvPIz5RcDOdpusnp9
DKdwrFcmK+2NaPz41PV+dcEZh9auccs3mzvPTie4GYQYXXBeVBug7tYeE4FGE6fH4rMOhXkBn+nj
rAOHCaat7K69zn2cIzbuVe24n+zUGxJRvVlfhU4wbB0EOfd1XtmrhDHxycg1tKaBkZiLfnHhaAzd
ATcP1o4IwgVVn8XogRLGGpqc0UOcHtw6k1svc6wrUTTyVAtmGMw47a2fRQz53Clf6Nz8PsaM5dMY
9/KlMVPG+Q38Z5TJpoGYV0AHxdad3A+276xjsg7fcKDesJriYxVZMD6MxBZs+oQh4mJWEhgzFPKe
tmk2DOew1DH+c7sVQRf+jf/DUUKl1R2TZlm7NLrIT2OeJI+KZeVbS+lJz9T011Mxq4fcmRuEZHzY
bDyTvRG0dF+OlUfXRgjBgmnh2G/djjUFg8HqIQxzwJ8s9pJ9h3SH4VK9rOEC1pqVWT0D+DdfTe1X
r0WpnkOojWdpaWSHM0yUg23pxbAYCBYnvbjyglw/wBBtik0YEnB36cZI3hVR9e6x92SePbPlXxnk
zK/9QXDsx7MCnCQIGrxJsyl7IaI8eSK+IkTLHJjsYLAo4YDr26e07obPHnI5y19QDE2uNGtQVeyS
OuEmHOuCdbqLL3BF60GtQzYmhsbIGb7OVH1U/IbTrOpynG4rz0+jTRFk8X2toFiIamYb3SedtW18
w9xa2D+OQyrjYzTPydmJkB/nBLFcZySmr7yRBb8rjK+ZX85PkZIh2jmTfKqVjRoOIFM6vaQ8Khiz
Mdtcz4k33xhTOW+yTof7dhm6FUudZM9cV/WMDdSE9nIKLYaAmsp3HcdBeSiS0FwntGVkYjIx25J1
U58dm+I6LoSzPMHUNpiqAa067vi8ei1bNBk3Zpo0Nptol2asMjkFiJ9rIjx6kdsIgqKlO38aE57R
WzMwEkabJdJEdDPTS1uMenycByPhfDVaGt72thON7VnbrvMsoAmBXY/DFR9J7fs7FB8YyG22NF26
+j+5JMBatsZ4PatxHzI/fMR6NT7/5Fq4/SsL9X+xEbwtY0jX//W/zd+iHGkfFt44mffweATTHWcB
Uv7kA9DVOMC1ModrZTSEWQWsVkwLY+OYHw0fnL76YuX2vk+sE67snSHrHaoGFAHhRXfzlpnplre6
D+YEX1W8/+MXx1DpN6SgH6/NtQQAIJSPwe/ptbnZM0oMreGalca1p6kVQQT1f5JV8M9+iSmlRIos
A+H9/gNwknak6e2H69gSq+V/rgGk3yt3/xlJ/itOGlMw9fsDI81fsvev7/lvgFZ//ZG/jSR9+Qu5
V8wjXaqF3/KsfP8X5p0WyEek4cjY/J+cNA5DSQ9Fqk9Gl+tiw/1/Thpb/GJZDNkRTLJFXTKR/p2h
5G8B5jC2HDIQllfBjNMS9vISfr59EpMHZ2NL4xAAi0cpl0zzoQtk8ydc2N9dpD9+DTZ8j9GrLXzr
9+FAs9mg5Z5749DM0iQLlI2G3Qn/Jh968Mo/ff7/5JGw3PF/hyb/eEsBQSR4gnj+ujCffvuW+C4Q
vOPDPEwm5ljh1v2FeDL7hD9nvNUu4pc/+YU8Zv7hV3oQQE2HO31xLwvGzj9/iuzHnMqEBnWICT3G
G1uV7blke1lywuQ4cfxgCJ6Fj61qJzrVL0b+LJn2bjngJgGU362dvufMQx7LviIhKZPcdTh9U1Aj
8KQtOFf43vashYP9MNfxHtKvRSQ5lKmpNvO7LCUAMYPq8YTJtjgFfU2cdpjH1+HUxtfsU6Ce26qI
9lMl8mOsmmlb4YC/sww5ExpMkGYExf7Z0+oiYNjQoGd4aXQmDrNlpxcJ/N5fAxPo7qymy7/P9lze
zPaQPFkCvQzPuGznVBEuxjjHog2b7yDKsNxAdMLD2aNrrQlp35rRCEewtZsrz2zL61r7A2781H4X
maK/c4cKGagBtAg7O0SpMQjxHxlW+dH4eU4/vKSOl3PUcTgPrPRqXyIRt9hqpUYwpGDwa4+kPW8a
1NC8BY7lTM05KnSy8wqPudcQcp1jYS2pS4SdF1+72tNvSaf8l8Vmex8oEaDKEU3wmSAeomEImPPh
VEYcvDKSGNJRjx2ERtOOvqY4ganhCpndiKzHM+FKVZ69bujQ7BfDM1h6+FhhXG8sK+PaS9ifQg1N
nJvYNu+jEcZHOCbTfQRIY9uYon7LWcPtylG0lGlgMjGRu/kno+hoHxXRx7QYsBR145XC7s3aanai
fNvw4URFmF2qLJ9fMNEZd3YRz2cxh+RoNKhYj27RC2OTkvYtVgbWN4mYDJWvIKBqKJqtPQHqFonq
PsnAa7+m5oT8agZcVGyNNg5OfAQNOUvuR9Vm68EcCMrNBIs1L/sU9shuM5UEILOTTVP1BI4j5iLV
2d5gIb+ajXxcNxAZIH5IsUbL6K483V4lRi3t1diqae0KP3l3fJxpzMi+kF9r40dzkQyi2LsPh8w6
u1Fz64y0jCvf9ySXNnfPyJryQhPHOsLsv40M9XZObbSX1Crmr+1YTmu+WQfgTprexEFhbdK5be8r
TEJr0F73VRXE286ZX40OSIY1R9bWmubmmmXtvB0Cd3goiqDDURX0SFkpVZHIevihyCBJfXB7gNZ6
AlERWKO7CfuOwA2XhBxcBJO/eK9nhG+bVOWps0UeOqUomyp3PvtDNo1HQkhY8K4jVQmxCg1DEc4K
gRVEOmv7ZmB9bpQ0PRPI1UcwX75COWEizO+HR28ikzUwkbJvnGkZHRkhSYkrp8KIFbQ+8y6Ubq73
OtLU+jtvSi3nmPsswTdxRrAK2n1wVZK9ZevuVDrM6r5PHf6krYGZXLsVJgNm4HUx3CrXUL69QvnW
RFdBaPRMpppwcN4sHXW4aUSxzJWHegys56QbDGdXjezPPmkl+aIinF7GKaV56eoH0oWKvNrj203f
DEenD0GfE/0tFnJ/mXvOoRdt9uxhSazZw1hMU4bOtU/O2IP0GOZ+GU8A+9o7rW2fBovZkzmOzsEC
8eatRvyME8rmwHwk3x0CQVMt/5oVG7xZRv4froUKFBULQbgytdnPg1aNVh0kBESimTzqRhSnmLZr
2+IzwvJeYczEFkKkUiXlgvjrPXMH6YIQ4jou2PkA9ygYL8CWmQCpGCFhDWPNP1WtUTygSQRSTKZZ
h1QEahnkOqm/SVf6Z15IDGHPkuWVZqA3bzrgABCTp6E8+jR/Nyyo3HfyMnl9dtabu7Dx8jsUCigs
Uvj7AHRczX9zjDb/bkE+e7ZFO95maeLOAM3y8kHlUawRhZYd3kDgAegXER78pwr8l6rA4I/t1H+p
Y5hxv60Cf/zIr4tpwZZZCscmKYnd74+i5Fc/tUmFSHkoHKqwxRiN0/lvq2nbowrkp3wILD/+C3UH
X9+ytbbNXyAW+GwwCLwlC9D/d4pA64db+qeaSZAUyeta3NwCqTahtr8tYHLwh82YusPZjNn+VUSE
DQTAM0p3MEBfoQv2LYbeldfO3R7jc5aLl5Y0HJNEK503j6jF25mxDsWftc3g4Gu4kF7P0tJ/iF0E
aC6LPrTMZrfWA76KnbRBBK55zE54goeBbGSkJ1beH+uO8DhWmXPbFa2+FNkEyQPRPcdZ4Ovi7ITJ
eKKo6sURCdsEgjkMHxO70uCW3VejKfv9wD5TrcUYbAIn0eckJ4swJ1FpQVum1mPkxtxMLFnAuQT5
kCrkp32wHeyqGrjJZ4o2QGDj/Zz2zrvQFs8DOtP+EouI+G4rWhJSalyCSF9sVHh7BifZfuzrzGcg
VsZHN1eVdx0EbQ/dYRIciIYBu8HVU4uDJcU3aSzh5xEAq4MmmWqXzDWUZM8o+IsLmaBozPsQa68T
ouQdJvN+cKOi35Oe1G6ipuGkwKVrcbKqacZRmNfIdKr+ta3l9Awq22PsoyqGsGNJ/CEhVA5vVIai
s15Jemd075jZvrHcBfIM0cdVujIZUNXngXxVrMrSG7Y47pmlxSk2Gpfn0HOQsF7HdgpihHDLqt1F
TS2yVc+ljtQAL+0d9oytxSMQJnibheSOOCMxjYirgcIkiUF9m/dQfxDwlhvRYS3Ubp8fqpK1GWq5
DmrHMAzbocWzmCurh1tntZDea8W+d72kLX/3wli8z47JQ9ThbtwtxRW7PDm95ya99y6oc2fflaN+
MAvkBCjystcS3g5L8B7XnTZUewDircTGqoFj5FO9YS8SLkZ3D+QdqZZcNOZo9liRMzwsOOK2kVcH
N6NTAeEMayTplVTswJCorfAopw9uZjuAq6KOYigxyiNDUOvY5l6+cZF5fOFuqEk3S8zga5j3iP+m
pu1TljCV9RhmcXcc4OWCKwHtx4w1bB582X+IAZpIPyHgYkWKzI87ID5i2LCxDauxD6Dc+OY5d4kl
SyPHf1uaij2TFjdcOVDPSQzoLbVqOB/tTRNWjzAB6+uKVLmvWZtD2q/U9IxVNj+EMwfz2jAErlFs
Oiw9tdHcTOVYXFdOAuu7xd20CLkYRkLM9zdmFJZPrsL4MxhBcSzQ9r20FJ5sZNsQoKjE1tbMqd4D
ONi3pc916IWS41um4g4USLee2DoHkFSlNfBkCc3wSmswX53T6ps6D4MdWsrsW2Gm05F+p8TZVwEY
HKcAnnf7kYhYbuwJKjyTannA1BAwhLfecUy8IGN3WIEr4p6C3vLqdFOR0aOyYaWrSHfuLZEAoeLX
po7bTfVfG8D/aX7I/39yrcCh0/3vISN/qdP3ovktZ8T88TO/DkeCX2jQXcFwTJJry+H3d9g3cR0m
yRsuaRgO872AycWvx6ILnIQsD495F8lfsML/fizav3CA8af9ZdjwA07yK2Tlb5MD+CzQW8Cz/JNJ
guNz9v48SzBN/jY0WxzNjBZ5pcv45Kfp4jIv5rLu2KFmPhNTx+iv6wKY2RxG44nllHOgXE/ADQ7D
9OmUjXd2UglT0TcxTbMxRx/NFvUdPLO4pIwuruciRL/FjaU4EdxioxrpXQNDbSAb9fFjjiEDl8Qy
XFau+aXUob/NEg9CheXiuG2qr/QFyWE0fBS+hIOyS2k6PX8InTIkZuSPYwBv5UPdIAkOAHFehZ6d
7bsFrTm2xaV0LGiOGdxsA5LWyQS3dCziPMcTZLj2xjKUd8orOv8VIQQ3eLGyvc784Dw1qmfM7Y7W
3Wh0wTViF3Exp5gVhT0ZmCFKu9pZMPD2ZmmpVxNqJBkS6a3JmvoSWuYjzgRySV0E4EUlQSEL0ii/
4zhHbZ5PtPkmSdzrOq/b22AyJR2PZ29hvkIWrHlS7p1M6E+WztXOru10hdGNg7cr06dKJi6K50wi
Ika4cwiatt2wb8zRxkzmujWt7qX04/Cm7aLhri3j+QOnyvS6ZGjcqZTYb3tKamyUyXjnuHw4Av38
rgqd7kqMbvUVHvq46Qvl7XSf9WDxUt6GwpbNMjE79AXKniqV3acR2CvE/NPaDhBHFOooQ4K2uhij
WSpKQjYwg+epXobSxjGjqN+oqqRl7+tqX1W9810FCTucpI2vWlcOe1cE4ZH1TH5rssfidDOS9ETI
c4iBGJrqlZZT8qyw/EMmdvMttZA+gd0cHjS6m8cglPFlJvrxQvc3spKs7fglbGVzTjqRPchSatQZ
bFMQ/pXi4ECmh06W2fbdPHnxRSk57yYPEQCoNQTnQD9MDrK28jdxA2vBHWJxi8fdO5H054brZJbZ
RzeOoPdcNztMY2dfuS1jgFy7MbINL36tWI1fY0By7nI/mw9jNI3XwujtK2twcDl3pbppZdk8JrMd
4FxrsmNudEeNQYGtd+H411aFMABhhHuplEyPsZnpAxJ7FCz44tnQysi5yfRwZUXsKvqyqg8GInKS
zdr3qINivZoAHm8tEF3vlY1VpWJBoCbdr/KJAPKyCuXOQ1m0mbzCerZl+jENtlYw2qX15vnFY9nb
83PTgPieRSHuysjFizlGoXFyjAZrXoDc8xpDv2OuB8Ot3puwTm49lcKHlrYdfMShH+2Lnh9Sc5w9
4bDLcc8blDBwuK4SxZc4AEc9upD4N8jjkPDZTfvV9hnmrdrUfGzL4sgJBpl6qPYF9iwwjov0L86S
9A4DZnbvhNnBxS1xcsO5OMo0LzeNZhXT8bB8QyQGMMfJ2cPGdrUhdGtcIUBN7mmB5bd5rErW4uDJ
5whhWoIO4tUTxvjkkQB5p628XPOFooupoxSDnWvqW7CacCFd3CCMxZJ1EOycNsn3YTOIi+8H8ECy
uz4M+1cjZBWXurZ5lwhlHwoIlM06G7DsFaKvP2xYswtebzOI0cOVOoxbyCedQfFl+68tiim9Qp+T
QRX3FqrDPKkbeDvp3kDTQ02FbnZd96MbMCsc2BEjQuuKuaGFKLvOx9fQP6l5YradpaRiZtTGPOZI
ZsTPVYsrql99mYpQbE3TeE0QxPmL2NzeYgZnvuBWzK3qwoXIFrPBQxCWiUZsqSsrSINp+TVzoxmL
fBTcObnvHpvGGfF7KKO9w5SQol/FDkr/805uwbhPaPVuRePChNG5La57vxRrhDgoFlHwutvcLoPn
gFPjepZR9MKAE/Xp3H8h3ts9cCLOa5azOB2VRCOE2uLcJOixkH0F57yT9S3w1uqCLrd6NsI4u6Y3
0NtFWwDFF5riTIzL1mkq+yUdcuuAm9veYg0vd0D9rG/YObrL4AT6XeIv5HDpZvlK6FL81FpmD+Q8
ToMdjGrFQjgCAzIpAA1mGN2aJlOJgWaY9X81PoiOj76InHkzTa3eNqPlX/nsB3CRZGV0YyPv5EKj
IA8M6ZBYLbp5D9mg2xfx2B7TYNZPWRfuY+Qi23QKAUj0yGV03zO1xX4IMq8zCvJu1LhzqxJQZK+s
E1vh9AsgMMIzmFSvepPjNuYWv2qALRzYvIxwlqo6eANcFG/yYhCvWci4nicTHszW2kyW69zOXWJ8
aOnh52l9Y5dDeL8x4yI7OpLMDQa8zV2GweRJDaguTVGJB7bAgl/nhbgXJwP8Dw3DdT1VXwt0oh9i
7nj8E5s6I80dpdqP9mBuZlInVxaseQebAfGfRR2z2cc+5+TYuIsFrp2nsbhbugfO/iRRj51DIbJK
uiqDwmEH7V2lgO+WEbf0CskH6Iq5qZESe6FffQ9qnR77DCiNHAfjDCRyO/lFftv3RXpone7NqckO
4VmLDctnXv01bd03J47eRdh997L5zS/He3xf9AbzQP6wXeXHGpX6tq7iR3jR+qSRDT/2OrWeU0IN
P9iMjC91yA/2hWtwqccTfe5JK95Fd9IV9F9Exu4IBvBCqVUodzXDUXK2sVW2crtEkZ9HIl0wJY2d
f1u11eSCtgi/d/EElDpDnhC8MW2z2GmwQ1qHpQDMRdWzzyNdXmJdGeWb5gFK7RX0AHoJ+qrSSeUn
30jrTUMa9oYiL70yER8SEBB7b2DpgYF7oUpuQ9Jzr7wIYuVjF81RuM/mFIoCgrFhLpHitE7y6SNe
MJ6cKsRBjnQzLFjrxGl5rBZCUPGDFRSUxa53mxeGs9DG4C1uBL0/k2L5MhrWcHBj7YGQartr/uS4
I7CDcjKLTjC7z10ASgA1IjCMVHHKGB6LMmqRp2KOsm3kWt6JE8R4iIxYnZm8Ay4pzOmaXra6rvk2
T3NLtxbFw7tMg+lUBy65b9Lo9iYkYFg9S7llz1ZHXINdX8XxkazC1EPoTaJWe/Az8NYwReM9iiux
JpQG3lHUbFCOquMsVQtJI4T5nFvxqRXqjEA5WwvP1GfWAi1UEq/60tlutsYSOe3jqofj2DbB1lCC
5jrOSkz2UkNYiFIOshC7ksPXfOgYrbD9sfI9XDrxXXYhZbRONXQ3Jj22+en6+BleiHsjIPKjk2i4
nKewIierXRO6EOfZf5q4fwkVaQmSB/+oi7u811P2Xnz+bLv52w/9rY3z2FZLz8NHwLSSjfRPbZxH
nFPA3JNkeMToQBv/3sURn8gimFIAASVi52XN/utw0/uFZQ6hLoxJeNz+m76bf9gHC4HHGqFIIJgD
ufJ3PVwhuqTOo3Q+4CsmpCjsZXFWo5qecpO8NqXwmP308fyTtnH5C38apvJ+hcfAVjgwMgH4uL/b
qbckJ6OMdafDOCb1HVVuj+Z++DNxyQK4/N1vWfCXNsNkfE7W79OvW6cRfeXgmZmQNe0Ha6zu0hJ4
TexJvcXayNqIQ2Ejq8S4b1BcP/3xm2TG/A8vwMQZxb1Io8B7Dpbe+afeuOsmHxeDR6xM5mYj5HVA
coRAikMvgXZgmq1PYzLWzX4KvdwEjmtDRag16HSSnWznofQZ5q3K0J8uYKtYXSgT2rs/DynDv5Q/
m5UTjamdGTMLR02pQ7ZFM8G1hNr1vWqn9N5O/HQzI0CHhY+ROmRreMpdp3oN42raA2hgh66VyRiN
KOKqghfgzWRSjuYjUzN9XUPbe7SwDd62NnR/jCv6nVUzu1nmyNN3QO3zri+y/jnrimnfgHkCQMvs
tg5jnzIfZyDPQFF+iTCnvxHnyA8OYxycm2qE2kzk4n3QezkB2o0W5ZGPioGbIo3WxNnJEH6PoYm3
KbwGVOMcW49TCTfTGymTnGouzqUMIHBkyspW2ovruzLrEQr23kC6euvB7qH2vMz2GB9CfMIbm4Ho
Ke2s6q7J2/A0A9PZu4j6j1U783Lstn9ORN4/V8nsPvDtWFvWVdYWdXu27jieP6Zy4H7wTK4hvDRP
URuWoK9woWFPKsTBHQLuoaEOT3ZbBJwDRnwgdmb6PnR6ehI1PwIXp3khb9I/h6OSx0q15mOXzc0L
IM/iPJYlhSq5GO0GJyYVucwH1B8uSkeaz4xiUcOwHIqeWE9quXvtRtieTXSMiVXWHzLk/6oU6cda
EVikDsBEKTVlV32MzMKffKNFUhF32bH0+XInTw8bkKJZtGnsoi4YatNVarg5q3ZGcu5JA36dGab3
ajDTnQur6VqiyVlDHeu/ofzHNN62KTk3y6K2N8sv1Gn9M2kx8yWoev4qO5oYOrBfNEfecTAY9L/p
crMblXPD8YcBnWHk1pUJXnYwROs+TbkUe6b530yABvsphmSjJN9E2AcQmQqym5jbynyT6Y7PlQiA
dy8LnPU4hEmCZ8eIi00ZheG9K8LqA53yfCmGaHqyBnaqRcnNkNVVujPSomUi7ZqPsSRdMVIZiEeD
zxbBvTgk3fJRL5coBvX+GwKSdDenE1PjCvjdSrrltJcm1z/LCv2WKS88ZSxvByJBT1Fc5zfK/y66
ABVAbOQgdJswt45R43wR1lS9WmHYQdni2lzBTIn3FjbbjZRYAkOv/9ZKT19DPeKiHKH5jxR11y7o
CuiKUt/QFElwYoNz0yGXfyziRr91bKC+GCAMt7OXzjuMNuUXO3emq8Q2nIfRZ+WOOMOn+yuG8l35
XsNyh5kUDg7SZX+8OX/BnTTEONyPky6AeMfJfBn8qcFJbKT3E5J3ingS67BGm+FpzJJ87Q6CWLmS
kdZ6BFS6dxDhfOgMvQJXbUou3xShfsWCEpwTMTGsci27um5dAgisF/+vuZTgX4F7xjD63mKzyMmu
ZIZQgHpoZwzROEWH7oJcM3ROAw2QvEf4PK0qOU5PJqSVdUkuOyY5Z6w3FbXzjusQY1nLco/6k953
13fFNSBGyiiusJNk3NaKxriDdn9vON21ROa88yPPuYM/wLPTG23KRfUQOuF1Tt4LEzJuIoX+4Zhb
6VPjSBzqGd6MTk5fYyj9W9l3n2lkMbQq1MfUyQjxKwb/wuz0GVsB0W4OlusmVO0nIeTVVsUNxoMq
3BG0YZ7GOQ025lR768wjLEdphRRpltPFCHSPRGMOT4QwAXPUhKRlFVJdjbXkKC2xpN2OJLAJ5azy
OO3LFWFT35WekWjbTuHtO7gyayIM76fCi7fsOoKrJFL60rjJgNeQG7ZKwJjHiM23HU6QI2Mtc00f
K44Cp+MBrQ3FZkvKLI45yFE2xtkeaBV4FE+vLQMaKnai4NAp8wGET0Dz5zVnYPN2toWD1340ehjc
tVMFxgyyge9wpUiDOAAw9XauOXwpyrA+d7DR1zgRu6MaApA5WQC9wwmxv01h82GXQ7dXjuLM4wD3
MSJyzEXW2AJ9QvxiO+A3zDZtdqzHIpK2UnTGgT9+8R0msUBjRuI2FLkqWZq+QYQoIQuM7rQnPwZ8
l+cyygocP2ILK21g4nZ1R3Xm72SHZfioeb6KzcRDBGppqskpYc9ZXmTW6Kthxr9Vohc8WqNuNhgZ
uasalmJ4uwog0nThpnPSbj0+zYOdgBJB8+U3xWHINvANQbLW7vyOdsw5WlM+P2psMIoVXnCAQRwc
cwA2t3EKDKAn+ffEiAKKg5XlXO6whLIB6FWDv/vOg8VFcTCZ+ELrAbOW9neVAWHMCLJ5BQwJ7FJg
J6+eS8AU8z1CH8KJSWdATlcVwfTrFLo40+Ash9dyjGN7tFey7zfKUOA/fGXuM0Kct1gAoqPfj+Fi
hJKXEnMlLqzBuM+xQlyb1TydJhbETPEcMg+3lVvn3ySNF8BF7xyMLTmychjAEmEOINlQRulFs4c7
6ihnrRhHbn1FAKL91iUeaGXPwfaCryBrrqKJ8TNc4kR80wzgQUR4hYsrAoQVrkMw1XCY6n1nZs4b
/o84Jn4zTs6yVc1HbieMds1G9gB4zcJUzlvQC3EAvYl/gnFzg/V0LNIdfW3/tUzMct1mw1IX6Opu
HNts41Y9BmIfKc4V5kF06iFpmh6XXx4da7uvz0HVlATpjA1B20Pp4MYt/LBZJ3Hp3EwW7twZZd1X
yCRGsyb3kI4b9xjza0qkJCHENMvM+QBwuzgHVogAstDtJ2N4BgpqAKq6E2nDgaN5Cn8vMlbnejLC
e516yz2QUiZ4odDhRjlM8LwoRl4Taedmxgd2b5Ra83ZjG09biiBro+CJw9mDmoFVa9RfwVXNehs5
fEkmOjh8wlSFfy2+qphVBOkFzadmqeJvLAf71wqgB/b5cfHhU4a6DyPWW5A5FIzF1uplukmwHh9t
zy3O6ANwVgrCUPNy4GFcJ4iOcm1VGJGchsM9yEvjvsDU8xxbtroBg51C1XD1tZp/vIqgerUNl7I0
rKrloTzn0/c2oSaJA4/yBGCZectjsPi0tVv2G0O5ZDpQJp7IPMohpdW8nGmZQkem0T1j2+O7MyvD
L9Yir6e9Qhh6RQQz7x/Y6UYpzvKSYutNg0dHjrCUvzDt37wWGKTFqBYeD4JcPx+n7/6k4/04k/9U
kN1FAPPQMDV3QGJgybSzY0ry+d2fNBHmPzYRHjoWmkaSHW3XE7/rlZzOsDVDtfowkoO7ZvnA2K/K
g2lXTvghdFwQhxnZ3vfeIhEuxiizM0zr3U/0y1AQVhI7HFOGQwRdp/Py0teWfIPJUVzimYEP1EP7
iyXTaLzAeSr6KxJC/WPomulGSCQEoAImpCEqOaggdm6EyYC0HnPqhCwPzhzcM+B0e7qSzFbgmHYD
UEu+WUt2xn2vavfBcLzpe+4r4QDAk/j+gN1SSkqXemMoF9wmFw5r80Ux6TO6kipdwgHZeBZIG3Lu
gB810ljM1R35dMt3GSzlUkohFeR4U6SI3Qdpp3qLPUwT3mj6rHAqzn6TVg8ZYv9MihH2GeSu2Zfa
7lL31Gaz15+rEILlyxCzaDRGhv1bR6U4+DvgmkCyiDHt7HrtINloiK/B7G49wzRECFLByzl6wP3U
MeUoIXx9+RchhRQMzAaF+xoZpwn+CeWgdRWQTPDpZXireQpSSxFphF4nDCPescKPtwWuSyWYjZRQ
BJ4iQcUGzd5DiQNdD5e2L5sX5KeEcRems26IqazX5ILNlx+iOj+S+uuUEA9Yx228B7XpbwTKRcQL
LYVcVLjdM6DkL15N3T6Ppn5DZGnHGCKxWfz47IJ0wGU2z3z43OzGfU2yzdHkhr0DxR3vwzRiQu87
LalSjl++kwZWvsvJ5Ey2MgtkHkK6HbR2gM09Hz3y6QyHOc2WmxXNC/S1BoqEaR8F6TZf2qWmLkgV
QtzT9sNazhm7twlr/Q4APFPUJqFaLDybXKDYu8vtunsWJg4jq7DKd5y28V5IKltt0rVs8C5x57XM
71+shEYelKG+br0YsUgox/K9DQsMQ35LRRpKCWq0dGbukWVghv7P5D8yLa8+mDbyqSwrBgJDQbHG
WMOLiGdRBfCftM2BW30MlkdXRIzEzpkIws3IBXwled0/mwPtbQNv9axMXZ9itmNnV/HB1Ty49gyw
HZL2CLpjwk9bNUzx3l8678CnzM/BA0FFoD0BczF/97lL523sz5opPOPo0dNf266lzRGOujELSTb2
ELlrU/KXFsZSsCyvepQBwwM/LrkwSjjp58ke8H4vt+pIJ8tBkg74dOGLMO/vdmOdI/lhB4JFqY/p
SJemIR4FjROE0+oOZCjfDCt7LtvlGYjDvgiXHnu6Sm2fS5Vig37aJp6WgRbvjlyfq1mhNBt7pho/
LkNrpPXl8q7EYSSh5iIVnabdTNXdj067sLl8ciT0a9ekY61yug8cmPEhkxxkme/65y50HSTAtGWG
MvgYZEVHwaCHj34ZoMyxP+1Sdq5rTIrfa3+eLjO3G0NpptrhahiZQfiKqcH/Ze9Mutu20mj7V2q9
ObyAewFcYPAm7ElRoqjGljTBkmUJfd/j178NOq5ynJdUZZ4MsuIkEiUSuPiac/bRkTjfEQ/AzonC
w6U+5FHY5mq4LVuglwGBIrCTej3ZDxO/0SyqoHmGVrnM3Z7Rh0euHy21bi2LlvAJN+ISzBiY9OuM
vRPMs9Q6idi27nnQEORb2139pYkqJjGTGZdPMPsYUFhNX775EZ1urTfjY6Zxm3uiSvba3NRKBEhz
PKrwDpcOGeS6Do9MAcPLJrSB6Otpskt0Q2tp8PKXvlmhl4elyswsywNzD3f1XWcFSJmiND6+JOUh
VdY6cNvLpRkyMipMWvIM3PqdbiTZschZBpXk0RydpsYJB0RwxyaMWUY71yh9KoNTZ1LhLn294XDX
RP0tT9z8ZfArAs700j32inM271llLQKrrN70jCxLaO+tsb5s1hiX0yJG3NPz9VxW8zFce3lNOHjC
JMgNFbVGXPHlMGPGqxBo0UMwTxv7MpqfAhTGL4bDJWFObf2tLb38NTA8/6RYbWyMar5+8BvuKDEZ
Atn8Ot48dbiUFY7LZMqPs/gOAw3du8lj0kZe+nB5NgD4qg6t4wcnxZFPv8/wqtMs86R8zeJR0bsO
fhLeYWi44qHHmbN0cesh2qMCIQ4CALYdGQ8FmB7WgHyQLoO5/Zjo2XGSLRpMCAL7dP4MAuql57ru
sZtU4NlWaQ+rGydm93nsKU8grzlHPU/EA0liHLacY0957RTPgZ14B/pG4mbnUUzHmmTvsJs/4FHp
V6jdY3IB+rFgpVvHYA4GrpCcRPu2ochMubG3qMGZPuVk5ixHvctfEqExGOyZ1cnQo0RrKFikjaJT
MNSDNjBfPJdjdlC8G3Ts4xXEZf8L3dTIYlGkcx0Hi/YwVHK4rWiWHwvCW3fswGgVu7rjzdQ53gKW
PEDiJE8tuyuorSXXmqZ7dwOUkheRDCnB2Sw2Dz1J3CTc8aOCI4N2CXfmNDnQJAiZnVelGt6L0uX5
gMaNqSAGSgNzghqvFeamByAS7bvC4LMl7DBBMxNz44YuxV8BIflrnVaUHGU9JXs8+BSPKMNPQmUv
XWfxrk2gJvYA1rlVupj3oCEqFr5sXz5RlUSEnwyjx0NZz13qltYKb3oNsABaEMqJPIfx7I4d26GW
D3x0yFmIBaPMyx8vN+aYRjxiNKOt3izoFndkdZikhaNGHwTpXviLw20OMnItQ7M8+GomoXcWV7ZZ
KGJoJiucrgt7ohJmo78ZavITzCm310FN43AZ0Km6eDEFHUE/S+tHxAndqhBoj2ng+I3JJEmiftc6
5vNU+cFqmifgDY3surUULxbnrXMg1yP/viL6Uz3Yr2ZTptyGja9VIjnD5oWb7ZeRdy7ztIjKZmeG
DIeX9tRaJ2U3Yu03vXcYTY62wKX4Bqg6IP7IEebUltxNFAfQvuhd2KYeUNCMV1lflE9ta5qnLhTD
I0fCtPnr2noGp/2yIAB2a0ghbfRwKOx++WEBEsQsEmW900LwEF2d2fdjQS8GjDU4wY3gvcZWz4Sp
oymK4UeudEYZh5ia5zUqGK1ePuy//qEuW4nfby2kpQTgTX4oZf5hN+K3XMkIR+tdmkpCbwhy8Va1
05ZHXMbdtsKCsqJ7n9ajlMwmvJYhW1Tw6Spirhej2cV3eJHLg0xsTgPPyr9B7VdnBxXzmlOWwlAD
6AjuFBHtX//k/59OxUCQOH/6Cgwyw5Lff/ZQ5uPcR9ix8zVRHjyXuQ2Te6rHMiqrczIPXyeJQqrj
THypR54iWQ9zbdU21m+7l3/0pgyi3v/v/3n9llKOhXVThW/Nz1tHZc/GhD/Xm1KN5dXrt98BAr9/
zb9tGGLmAzqYZzEn0HjSjv6wYcwODTZpWEHNOf1T/ceMawIVxKbLTWTwpMOg8ZPe1IYQaLAEs5XF
4MzQ3b/jwzBnAOBPd4fOPeko13WVw8sBkvylG9YRNIAFnrQrFNVlBOjDdZ2xfao6Zp3Vge2NQgcC
+8mBy4CCiyfJUbpJ2q/9FAGOAl2Sj2bhH0zXc2J5nWkCSuKIdR/Ze0QcBR6mekveDZloW5DYFnQ7
y+877rSJf+tB1CwnXutRt3hYMFvy2xRYw9EgG2KciNd0lLYIkFmRc8p6Pj1IZcp2GVORh0yuEXvp
zyKrvHl23TAVuo9KFOlAMky/5yYNhjZwTwSPovN3TcBPqcOodWm1mcwWSVtNsEYUcyAo6lZeMte/
XAv/3DX/7a5RLtfRX901Wfb+1oRv7e9vtsuX/djwG59mB9J8/klWo5fT77cbR0n2+BbpNKy8TYNn
IovqH2hN7jZKbIGt44ca+8eK39Q/odG2rTkU8uJ7+nsu9ssS/6c7BwkDEhiG0vivFUCIX7fhlhjR
khNrtMsz3yB1OUQ4MxEOazXN02jHXx2GYosin8A9tAPA/4gyjmy1+OAYcbHUG+cBOEp80JKGmN82
OXYMJvDk2OhOK0mppKGuinBfsAXB74DAcAOFXF8hhwLW75BoXrjstV27dWGNizPRtmQtBSiFItMh
haFUA+ttXvPS3kT4EZc6ArJVFNdPXeKi8ArhV9O0LG0r+mprhb5K0rnShKy3xM9U7YuuejLAii0n
q4NjM1naOvXUZ63X7yJpfO0qXt62iqckDz/QyOCvzVXIHkCcQX7U83iqRnHOdkGvyifbmFeSs7u5
1/j1MnpJRLdEw3QaWK/K2fusPtdezVvTuR7VTSrJmY0/RKxBXyZGc5E7Vb3SS75p0vEWmLh/+RV4
G3RAaiHAGq/i/+p0foauMBFzegwf2kBAlTfpFohwmofQUOm72Dz3Tgvvma+MTJ7yoQukbBKzUnbk
LSgS2aytxpjOfp6cQQl2a9YUfCb+ZF1ZZsmP30u6/ZIfiKEpo73Jf4xrF1GpmvWfefYxZmW+K+HS
Ly1vRCN4WXa6if/GKMzgfXAfkHQ0a5nNTHUiLJnfUI6ZDWNZRnfo0iO3fvAcL6ZtQu5caDTuxaRP
u97h3ZOAqkEjq71jaA+Xi4QRCEJis6xXheI6INDhnHZOuKx096FH6g5EjL+lunXuQn4oP4rNPVJg
zvuoJf8QsPBBuVSVXTFfRQ3/Lz7AmxCi0KrMZ7FAF0RL27MH3iYuLCxzxTK1rBuu54/BBTI1627Y
pYRfQT/w2U/8KfKgEXWGlq36xqlZC+V8Tcq7BJiLQbhi5KaXtbus6urp8nmnDBwWHbrXua2i2wy4
ZNQcpZez9CclzEkOuuF/cJNzVfM0IOyIq9NRXCr5fC/4KDQeE7JjFrYTfUXsw+c/0KsgHAxvqNP3
SH8exolPvi+5T5SiggZXM10zkSuWTMOf6F7x1Ss+YaflYnK4Gy9vRlZwU6AcoIuI068M4tmf64oU
LFFbxFdz0SZxTTmOWvwuJZ9+KbAjQrWnz5UEsm6mFJBtFef66jJOL3UiookXra+cGkkAHgrjKEsv
xNKLbiJW3JRowY+gZrM5+I6rDCsvK/ksvqZn1VdS5yBwOqR6iA6Ttc59AhIgPHeBRWM1XyARS4PL
oG8wWXW0+PIWeYvcX0/5uM3AjQ9+oGfbAZHiujPm25CoveXls9VmapXmMXXrvPkI4RLICpZDsue9
uVzll7V4XlTuFl1wvB5Touiw7yXEm3A5Xy6A+QrnFj8z+8u2cuQYI4S2WZsTQ5HLx9y0PdGDFZcR
5pFmTSqT91qElrazAn7VSeO1stbQdp7LCITMoq8oM/kIjPiDraBE+87do0MuXKaycedRrnfQKyYF
KtSHG2uAL9pHXzWfIkFTCEHAksVrFJDhEukHkLZ5ywPh2DiOCiCesrnIspTGWquhQU3Z3IpEKU4j
DgdjQvE+mFs3IFcKgfqsyEG1AsMEYFmjy1VVMUUrRV3tkfOwPMo6h4V/qkOksGCmJz6Hom9wuPV8
dJqC3uu14hxI19lOBqMBtsJizTCJWAZ2TkuEGWQQtkQJc4vkOyoW/sbA+/vZJNxZ6DPftF3IooZh
HglfxIlaFZdEZZlnMc6YD4+gLQsBPo8dAjTHcihwuoV8fjns86CkzR5sc7hpVfxBGcdbM3IHXN5r
mzA7ssT4liwC3Y2ZYbM0BwIrySfnCJwV1CrRvFtIaJgO8zLZOl75USr+ddpGa2565nsh54mpJSFD
perN0cEHM6MDYFeqz3AKyZzVglutB6KGxZSsB8c/jOHAPERjkAVCHnvnWsQ9dvxs0HCVT8n0Eluw
hhc2FYG9dh2jZpxFRPBXEeXDCuU2kpVQFw+sHBK6u76Irsklbg9hr/MRSt3zPSBm5E+tIx2HX0Cq
PVm4pg06BXUpXpuqHnDPjnGjr3H/VfUaPXxhLO2y1A6F175qTZ5/A/LyZoZ6zoJYDvGHU0pEd5wS
E8nEHP/9rsmqfOOm8eCSJY7gYVlEFfd8BNp95fMoWgnD8a7dPp+0DdkoPWxLETjkqcC/SXfkGzba
0+gzGAtgtiRH5EeSDIoqYQfC5AzGqNXZYlz7WPvZ+bWUD4GyH34qxW6/VzA/863miv+Xusa0UYTD
AELF6F5isH8S2ZF3JSYTlAyD9HFk6h58hDEPF0liYlvlksuKu84MudL/+nXn4cAfXtfEioFeHjWj
/guq3B1NMbpN0e6M/nLYcQ/KMP6WseRBixd//PWr0UD98dUU7TVp3igJnV9ejbA1IjCmrN0lIxfI
XAm4MU4nhmT699/rnybgvzQBIATodf+8CVi9J6/9a/X+c7v9/Wt+dACzxtc12dNCi7K/l/k/OgCL
5gCtrmP/uz3+4dR0SX2nXwb9RPsJn42hyQ+NL/ArE1clomFLOBf57y/OzL9yahruH6ddCGIM4uUN
cFsokH+5hOKImsiY3HI32mPwhFd+Dm8sJJ76ATjGclBV2myKcrxNcjGxQoA+jIzXBaKkFxuslxk1
p5wMlKMtET4ZEdfMW/X+fWhsbX66Rxh1cB7O2OPM0bQFoIIXIK7ciripN2z80blK3Wd/7NJx8yay
RaImu/+ufESuRRgymxJKGepGVdaeufQiYJS2wWy2zXm4a4rsHUb35QJHRXU1lDwG7VTiwRusaNvz
wwlY4naxRyvq7XOtau4y1wdGWYcvkSq1pzBJef6U8GPNcsi22Ar8NXtvOC7gjMCCckikQ33uHJJv
tJhfEhQk6X7izL0eb1wXAOJoSW0RUf1vdT/+KLANAmJ0ye0mfpgqvGBpLsqmYF/DqwedONtygDqn
mms40nLRCooMw3kAinNNPE22CIbsnkmCcRx4CODAyrqFAKHD39Ij6t6j6RRPXkpuyWQ0A8gY/4UC
ez8bexazGzEe45dy1jupPIfkrU3PcUJ5hPIyWMVO0W5anaIOZPmSS/BhkB7Z26z/Ys+efwT0vhbf
2i0HuVWT0k8y1rQNFnxYKbWbfM5p5j4bA6lYl8qf/GqJeIvijOaH2AQ9/ain4la32Zh6pnZozLF8
zU2MIgVwB7JmPWbyqBfWPWXgbdJbO1j1Dsb2pjyNXVA9mbHzYNcQkPOBxZZRj5gnPMK+Jkb8O7e0
nTXQiEeiKLVyARDjEWwko5sUFzElykzncj3CqHTS3iDY6vLMIkjepGEZGKteBAPNSVBO6yTI7qVm
DGtZwT0A4C3vyEbAS+94QL9kwMJ+lpJF8zKfnJNu2aVD6W6ry6LfLwyDAmHMF5FhscEFPZUToja0
V/Oos93M0PlHZfbhFTHA+gsBUt2qhim2JCePnCmL9zLfGE7lkbg1jKjmRihL+xyjG7CNiOWullmT
tnUq1gofo6v660RUki0rmWVUgKEEGpL4SJ0i4/5yfP1z0P+Xg15Klu5/ddI/vDPuqev33x31v33V
b2e9Y3zCeaEYhH431/92zrv6J9B36JyY/yjJWIcnyo+D3v7EroEKBXWmiWneop74cdCbTHok+wfm
SYx7YCH+rRGp+vWgdwSrDGI7dUPaGDp+JRaqsZJa0FsZ6+WY3nWL+47l89oDI4NcIkVdv5jHWP2x
EeO4TAkgXZEawAnge2pXpqj7EMDW6ZqnlnFTl6b9MMQEZdqhjhvfJzl52Vdyjf1+eEqHoUSsKS35
6mK52tPtIZV3LQIcKVfXAJm/tQjb9p2s/a0VZv7KduKSpLsYHy0Em+2IKo+mWZr5YnKHGvRoiQIg
cwgJj8b8ySxK5zWr6nTfDj5ShtDetLUi1oE157KDEXAi+MTZZWOYwLdCr8IWBwHgQgo7fwoM4gtF
p02HmglSsPKFbX/1EF6QHJIWSYlWzPev82oEkxs1GDKiSb8jHUGsMjYmXWu41zrgHNDrvv+SsM6i
jYu73aRa4GVhSYUe6dUWhAfKzhCHWCXHc17kzIcykW1sLR4ZGnfGCbYea9sYQPcQ32oOITMKbu3C
wCm5TvwaIWZcWveVLjMafTBw+mSaRzca6n1bT7SU2mQckGhpiMwJVYlFOS0DLZpWdaTn16UdqGBd
8sClge/bB/BE5loYljr6PF23ZmGkPJCIxdGnejoXnaivVah5hMKJB3tIh7cxbu01FkB2SSquSe+E
z9WPdrKxQcWstGIY76Dyqa8t2J0iG1+Ifqu3RiGjXYuxdCs5gz8zusk3UeTZKBjteLxuRxFd+1ZK
NeAUA/lwQ0Nqc5p0qzBwnF1tV9WmxL+HwJbNL6FDghSShgiMsXK/OvDVPnxS7Tf4yAdnWXopWDFM
Nmdz7AlOIZPiMWgNgMdw7F41ygMGXJOlX2t53F052qzGI1QiYEyGBKZAmourxSNkY4qdg6fb2Uka
XX6d9MZjMGhFs8BPUO4cWAnnIad9clAxnERauVdmGTJBKkAnkEtoaKnatRqWS5ovAr8WbmvG8XJq
h/4AMGkTZYIwlYnt+AZNloOWukTuUOYi3Y0t9u854B01m8nOmESNlkhg2G0CE6GvVrWR4lMVU3qr
adbOtUoyZ8nPu65s8ZoncM2PJXTr4Kowki92WKk7kJkAgxmn7euwNT2xBRoZxWrRuX3mviEhL8M1
Pu/pNHVDfUv8kJO+uZD/p6OZAZhwmvYRCr28rRwSFto1uIUH06ujtVuh3fCTzD0QSiQQa3p1QtxN
YBd3xaClOJNDsD87LMBx9SiS3oxhe+uYKSBD2ypXhwwAd62tUisieYCDkvc97VBreKTUAlTKfU9/
noISg44Ob+imHFWqvmD6Zoi8rq3ROGeD23rfsGnjggwnd8EJtwgMUzPXepvfc+Va8cJxU8Jq3Ao8
0xK2FJIVvXGjr4rUP22H2AorkZWTK8AMtm0RT7QVDCtsrK153bMH+pyOBbm6BlN3ppej4e8N8oTB
N5T9cIvCwPw2mrKJt8IbOrzRY6kAbGkhAfGYHzx3nVkxL4n+r7IX6aCjRfCnPGXWlDAS0Hs0opx9
vGITe6xwhEvswyolxEguOliL+Uk5o8htBuVlIJurmLpIX+V5py18NSh/rSPaOw2kJWwss+ePjMqi
Bf6EhnU6WQoPCdXUVYWPuGKNX2G/n1K330amtK/py0tEiS73/WB5KytOCLsRrcQPYAjgCoog4xwu
4m0mkuPkz3nHlWHlxyGwgiuvKBRqnsZE+DBvE+YoLIwHLXOtRRPZ4uCoamtptAHcqxHnl2+HaxIa
pbZhiK3fqwRlqk2WtsHsjcBtW8uyGxW0+Z3TKRvnR9k9E00vxoWQ7hXGZcYzZWWs4tn43Vw84IR/
4AdPZ2t4OZZfeUbN4BHT3vSzgZz6DCmfmG3l/mR4m4EQj0drNp0jLPV4OGBEZzZSn/LZnA7QUT90
kFffmJRbt9hlVjVS+D1Hp7dL+VZPsTLCVU1wz3NnlPjfm9kKDylsuKIWnq5NujJg7gMqALIgXwIh
jYM1G+pNnPWAvIinRj8YLRvCggvC2jHhR7Md33ajaI3WbFsTLPo4MTPaj3aH1xi94hbKFxOpyOj7
5VRTavaz5R+MD+7/agAEEEqOeDRo1orWguXDDAwYZnSAmCECPiE6t8UMFuhmxACmFn9r8wtsijpG
gG/A+OBoBEuANgBCQWcBKwBM11wbajLeu1bkICiAGpCzZuxslKxktfB6YoYfFDMGIQoLBL5Zk9zE
MySBPITyGnt+dWtZhnt0lJGBv8iiI4JhsG0y6G5iRJWoZBN7jh95KWcgwzijGbwZ0uB5hss3qW0q
gVmq2M44h3wGO9QDClBGYJZza0XY8LClVq/OrBWYdwVymJpzVc+kCHOGRqRu7Z7jGSRhzEiJvvbh
IpDezTw51/eB7n/xZgQFFiKShDOlFoQyIH2+sCp0qBXDjK8wQaVds9DVr+SFbsHTv1wNqKtXphHg
tRuM5lETBKKs2tqvURarYe3OwIz6ws4oUTsuyR4l8zTzRUMWmSOUTSCwbfiwMnRinaTDTV11zSon
/eRVzJ63wQwi0HV6xElQVbELrqyj/Vb3pLs5M7nUT0M/eKiJDQ3P/9T3/wuJUpIcyGzjzyc59zMg
8l/L1ypPwt8TKX/70h8DHecTji5dQRGf6/W5afitznfkJ9xFTGZYDtjf/8uPMt/6JHSLTlBISXjM
RSTxo8yflRV4ntFBAMKebcl/p8y3Lu7hnweQLmtcC1c539OWxh8GkC2Xd0ZKcb4bOoUe1Q1QGQCM
DF1wyGWxsTNqjWVGdsbZDSX1CvHK6NjsIV/BvgD8X8kW+aUXyi92HYy3OSTY+w6qxItrGmDAoVfz
8Osna8dJhKbW5T26CgHdrlSc5QM+XkSdK9ILIuLZWW7Lo5NowU1s5AxAmbvLQzuV5CiBEvbJmBjH
3lhSahIGQhRa9lGnTIWo/EdzE6OwPwUgfG/jgKGPlg8d0Q2lJg+VNxIjx0eQRVAUA5JHKWeQyuWj
fS20yiuWjfDkvk1n8u3kyL070KSsiW/qnnE2KHdVpl7zzqtAZ6pM1l1Lr81q1mUopgK+cTKSB2HJ
/eBRnSwhIubxOtQYVPCkcRUgKUYcJAZYO4vl4K2dodAmyi30vk22hVsaSgsWyUnDOufxk30xCwvN
e6/Hd26Mvg1bZEBqm5c9oNnLT01doWsbysEniqIVIJG8QFGdJmlikKRoAJpaTMRinQdCPfBRFbyR
7Jk8rF1INgFqRYM6T+GEKNZ3nFsvQULI7K7SjZXnKtKH3KTPYTQRvGVNaj8UaXGKjdK9teoAgkjE
U2ZX8/5tgD+5R1SW5ZZEmP4YMAfbDAG5fsvQyvJ7wyids2ZytUQx4kJ3dKxdauCOSb3KePBydrHh
yKfDwsTcD63KT3FVdtr9ZKbj2lYR3UrN8w2zRmuSqSysGgYclmazNeQG+nb5tZ/S8hmklfhSkJiF
yI2IK8yCvlV/o8xm6gMfeSasju55KKiix9F070UV+udBTgMZHkOloVzo8K54GLCQ7WiWWDWB1r86
VPmUYjytikISsMVuhpHRAFp15yn2lThORgGFw2u1o4Db3C97oVK8poOToU6W7pzMZcVWjyq8aO8U
tL6YQMfBvcXJZcgF3j37EbiIeR3Umt77uO9NDb12FLGfo0CrJrn1GfS4HqbbqC9Y6PFGVLuR5b/z
XHbM7bTG7ctlgHrY4/PRGPbh02vLnswNMkL8ypgEOqMcXvehsYsWolJZjuEXUdRuc7D4q2LLKvQn
2nrtHmcQyfOxd63StLsKu6b+Qgt9w27MPyZtGrpvEfkrZCAJySpLO/ipTjmrRKI/WlIPN+StBwtG
l9Paq5hxIoZixCrRw6Nu6j+HDU2aRoDkdR0FJfbz5i5qDZKyk0KAKo/YDy1irqHPWPl9e8ftrT3g
OvK2eVWBu8VKycaUgQPpfZEoyXkfsCc1l2TxjJ9hBwFmaBcUJu0K9OVwpZE5s6dysFajm93lk3Ns
otrbR51RL12wO4c+jNq1GhCvmE0wt1fDlkRH7Zs1cdJALKJbnLaDg1EV67ixGItG3dTjcA9hyF9B
ntlSulqfWfOR4Ni27WIa2/xEtPYdcQli0WG5XbBTZVYwMwq7xEMSVtg+EVFszCIru9JBVb1Ho7rR
J+E9l1Xc74a+TO4zu3NOUUeK4hib0wKfaHdrtIxLy1zDH4jHY0uKzE1YOuM2MfVmGeCr24xGjBNF
46sgesbLsKrygrHt9Jx7OCuA/J+morpu+hhJhZjTAGVeAVrNqk1ka/p1VXn9Cc8+ipA6/+py2sKI
Mpx1SIbUhmxfmk7Pqpe5IcrdlOfhMuk67RCloXE1JrMVVPkveSjqlW8E4TJWY7YSbpsvkiavvvRR
SUhB6jePERUgF0avbf1q+GgrO9mS/z2umwqHRGcI74XgGDAFg4cTwY5MksQ0MMr7lvSGeCdT0yJF
jRUAAeoX2gQxe0DXzAOTkGRJfpY6t5gUtuHEo+nCIm4sM+WqsCd1A9AxQ2QRT2G0dsqwuXPr0vvs
lha3LKg24mna4IaqDKBUPidxT0MYP5HxlRIBBhbOC3H0pnXjbvMJq37Re/oXsHzausEaDpMym24y
FtZXmMyrXSpT5yz5D7ikB+1UO/5n5ZeUlIZbEiVYT/YN5noDOckAbg4Ae+Qf3Th1YC5kVrlMmhCP
CjJ0UPDodqYVjEWCQYH2LdEPyxuJ6WsxpQFESq1A7K8Ae2wVcKqDVqH1qYDBL0qt1T43hV5/4YrL
cH23PYlZsrqzvSg/UxXrN/T52cppeKfbhMvA7Df6IOrlQA27E6Ly5gmYtq8Y87/L2kzf27Ri8R3I
dFp2jdeTkGra44Ei2ZXLiGH0CpOG8ZgHbXeHzsL5RigdSxG3xAHhiRfNbT/YHvhPtmAUMocgLWvT
ekTAr11zT8WkV2JK7gzOuWksPYJfze0goxfPbt9o6q3tlJPVhGEaZUk4PqGaJ6qSBRPct+qVOF8i
XqW+p52I15UhindGkGT3gQpesRKLdp1os3wpoNOtJ9szbhNGR2vSAOJzZtjQEpsM/BsDDBYkAAyh
hYQNjqCqB99gpNONPzbeGvz2tzYKYIesKKWoL3A+IuWXXbJTBmO02b9ZLugwmkNslXMxUxJqZ1bI
33jKrUmPCF9FHD9ozBQZ2pQ6rSC7qzx01HtlVHeM+D68tASSHZYw29Rzlhjo3izseMxN1cGlKTwW
IJ0XSpbPuT+hr3HbA+oYpnAB/RYUcPId/U7uomFM95IQOGtkigWe4jHsx/iYcM0vstCGs1/V7lZE
jAIKPdpiui4OeTPcm+CocNABQ0g67E20HN8a6k9aU2YmngPEJ8QJgTkoxRSOdqJbw4xoFmNWp5uh
Jc2q0pw36L9PzKy8Z7205InkmGSZOta5NBquK+stFamxD6e2JsMxLK4wi+ZXbSneVdovqQu+1Qx2
g1XLj0QfVhNKWzBIrE2mkexjELphHSNIuVd3hjb67Fn6aKNTPZ5Eprzbijzeig89T6ptGICJHGuT
jVXBJWo4Pgl6g1hVRmTcSILOhriw7+ZxzpZANatdKEGMdcugYRkhs1CdzW8Ho9zkkX7U6CdXtT19
brBczMVmaWSnXDWEhPbulSjyDyv0dyXA9kWg6WQ416cZpJgEDa7tWsF5TF+qhD3dVA8Pfd3eFkZz
ovm/plqD0mNPI/c9k1GyFGJqwJbstYjbnPRVAmwtGVrYppVpHTMczEc7LTOcQ9VCjAoNjhan062o
svjqn8bvf2n8XJqgv+r7fgjm/5V//AshfJt+DV9/3uZ///ofzR+6dYzeLGMc+yLn/U/3p9Qnw0Ds
y7qerY2B3v0/Wx4HtTu5wehQCKuiOfxpy+N8ArDFOBwpPAYPdg1/p/27mCl+1/3NLBOTbZOglbLZ
TiEY+Un2MhpZbICI1XfxMAPhPwgIOmFa2nOdzbaKHYymA1kbazakT0bMylrW/0UAM2ukf6dJQfLJ
S+MSIGrLJFfwFy1+TvxW4WDt3rFCYdZjPo0uUfddjDUS652Yp7Jlu3ILP6MeIk2u8NHkC5Mth3g2
EY1ODI0ZAl/rk7agON40TFgLVk5k5HnAJLoFOqmV1lH/68Xb7OAkbXHRUqVr8UuEyHP+x9E0FyYu
1nrKtyGNT62tR8vdmXmDBNMnbxztYsazSW9QQWlVLYG6xHDWZfYZ49ai4prYDQAxU7hRppBXftsD
5I+ms9nQaDpzaUXMJptaVFnkMuFrPMINPLNSbnFuz+50tznb7rMhtXXtq1ewqsiOI2Ph2nJJ6B15
KS6p9MG6zZNVN6TLqo3vBo1EBioOnmTpumuKFxowfRsm7a1fqyu0z18nAq+YsS5Lu0+2WM0J3mwY
Fskse0sHU9/GkQN5QO/fMhNujN3WR45c8kT1YlnYNS+GpTeWwBUif/nP4fK/HC7sUueV7Z9PlXao
g8Lw5/Pkty/57UAxLFJMZlKfYhvKhMhG6fPbOMmw9U+CjBsGV853FdC/DxQhPjFXVsJluogZDAL8
v9fGBmeNDqFGx6Ly9w0C1u/vZtznRGMxAaCO0zm5TIfz7ucDRbehxkSWL+7reg4nLaYUuAVaW1zl
0wx7KEy/OuMaAPKkMMUGQazdwbvA425qOCqTEGN1Ug+I0gk764mahy3uavB0WaI817rO9yEzCaDD
nJV0G1Vo5KiDmb3kFH+b1kRxXCC6PwqNyUng4tcNoxg2B8qbuymS085ltM8qSGvfs0mjuQzM3jxp
84hlyBImsEHd9Gyhi/FVwR0LETDytuEhZ3WzqOJq2oCYLw/WiJ28FUH02rBjvGVJixnCicbnkYZ1
yWEVq6VE2PjeVb6xECz/YErrxtkP7LPRaGG4yJNaPLaMqOP/cqBepIr/OdMvH4FNdjqfqo7Ez5jV
Az9/BCl730jzavt+qqS7t2RrrQsxsGVyybojKRVhEYeTSN1b4i7EEbT63E/ZDvl50OZh7s9dmVJW
vndZPF9PnhXciNbMYU/F2pestOq7YAS6boVRdN3iGIBvG5AtlSR0In6A66CtZX5ynOqxSSRDr6I/
0jMLVusCfyGpbyXA959uktvvv93P8s05p/Gnpwi/NMi4+QImqkfHwP+ro6vA7c9SsMhgrqfeMzii
4dYnZ+XJEOZwqym92reRrPbsHtFjB1kqFqkG2qtGM44PZdC/FsxQIKJa/XCaRTNsLkEneiP/VEoh
3qnxjCscif0paG1062xUbi3H++ybg4AFFSaf4wx9tB2T5QdMJdsGWqVtYSrbq5Eees0IkGtasiC8
0if5DaDGEYmAsWswV+4AH9UN2TFyFWItWA8WSnu9cIONFT4nhRsdTDPv38IAHSob2v6tqBhXqjGp
dlXDSNILaOqLrt00YT/ccVPGN6rTuJnqONzF8hu79qha2F5l16sYRwucaMZwgNKHdhXCE1vkKnK3
+oRFQoQzCCjLhrsh41NaNFkYXaf0MhiUE/FlRO337iQlcdsZEyMb8RFKwGEiuysL6nrnDsX/Y+9M
muNG0iT6i9AGBALbNfdMMrmkqIW6wERKwr5EYMevn4dUVY/EmlZN3fuiMZtqKZkgEIj43P15cpO3
rXkO2VU8+KXVn51M8eWETXpiq+I5PUyaiMMa4q24GEk73jetxQUVtHYlMyQLRD+eTSObyXIwF5Vx
o16CKItupdTB2qQT4O+KXX9dsxzTxOqy6PuMv9lZiavl8adN0EKHDKPeMy7ot/NjG3QlvMIm/zCN
A/Ntj6gRkzXuHV3Nr4Pw53XDW31i6z/FX4FujXc1zoCTak310VMS9nmcm3tydZ+Q3EiSdG7xnq4H
XOm9djCk9Bjhcn73t9VylDdbaB0NmG0SBZW4jKbOOOLhYEAEWpgXSzCA5Wra9SiJy4JaZSfK3VuL
rI4htqCfId+nsDXvSFrMj9fbluh0gFsPmIZWuP2tGlMYEX7zk28UzccgBXVSGrMi6ZLgfSxAaMU4
2MrkpTSzvWJkWKyJkNBSZ3edu5dEEr1t5sf+vW+qatr+/tEVyx7zf9er5fLjV6VV2KeDxHF8b3m0
f7r8g7Ia2vl0eBG6xgPaoqivJq2Md+kc8A0sPAA40hvjKYU2w6ForIMabE0Zj3vfTHi92DyD3Urk
Kjz5oBS/ZL3LYC5QA70CNc6eZxqb+DKmyK2jSjpj98+/AJs6fixX8F4Wb4tQyzlrtBVH3oWwdLsd
U2u8U3UU4U0Jc2AeJetMuJgCHOGyxMBsN7bkeGpA4KZzYw0QuHn2iK9QgPnFHj3r1kUVOcWi7sKd
yv3wKfcQIFZxGbGD+/3Pfn0fv7n4aD+eBdiWvByHgDcXv9CJnuXgXKrOIaM+NE34nbsZN5RudP4B
lWI+4yEa73NqxvZt4fMNRFm6R58yw1NVkC0ZAqGPuTNo6pOU8dQiJe+DQWJe1KorgTE0yS0a/Pgw
FEGOdawZmu/YNpn1BIl8oe6wO5rz7DOXVPP40MkhK/ceUTxiBDA9RoFRt+268KNA3DlQ6+GfqFck
ioRVepc3kKpquuGfgaXMez30IapCrLdz6ZXMX4QYv1l4PDksFxKhvKmFtZ3tGsR+lb1YhT40sV3i
BM7q+pjLPnwGG6SP7AnGh+ujFwZG9FXTwkiDV8b/s2PecsKeIy6koKaOlAMBnUCo+KsJjm6XkkV8
5s7rv9Essawgy6VJIXt2SYkXgDNKghbNylcnGsKfKLInE+ACpwZmfZ+8IgVXWFQAXePxmA0M5LSG
3mRICjrjcWg2jpePd/iveZf8/kZgk/j2McQex56BUh/nuh18s21grSYllfXqQkNXC3fT5AFbXdfm
fBgVcGEF5DAO+QLg26MdW7H6iyva+XG2WJNIRjeYIpTHTCbNTyrJm2E1FWaSrXs6XQvKHsod6Ijl
cbU882UClvOe5b99EYPsv3XQlI0NOdYCG1PsM9st2Y6de8A6W1rvKWCjzQ6Ldm7ndOAidCFyBXPR
HfzIGDfTXCNUyeL9OFRQa724mfK1IRjVKJemVh6sYdN0ZvdVObxWuL/iDfSC6jBac7OXC+LAyxdE
jrn8XpkGtR+bMTvg3YbOMYpk3gb29NECd7axK/wm/DxxAYOPBwJfODdrKpgzuUTOXwlqFxvd99mp
slIAQ0EOIdW1ZzQyRXPmGbqYhDjYZfEH3gPJh8ZIKX+Z68HGZZwU6UdAXcGMgVu50SFm30JJnc1q
sGriOv5qBJ51QWxaNjh6rE7UY/Kqagp3o+ceq5Adk/Jr8USYfN2MJS+vGi5UMyyNo2HLDHc1xWIO
177bSLnJCWI9RVHbHENT8taZrdR+icEbT9CT3Tq7MeDysv0JpseoTSqDvlplvhSAUaJ1i3FhM7Gy
m2ujxHceOUN2mrgRMLtQcHdjyCmu1g6n/k9WBWeJ+6mbH4Go0Exkeel40ewtD4zAAkrUmnn+LtzM
P/rdbGwZuWTIdgxqgfXreQCPSpLOJ8mFdYmJ9AqzNHdhothlrsAIbVrENWPl1CEFrPacfyfieMEm
nydE3mUFxynDEZIPWXHneUX8IApvWPMyCLgywTQ/Xh+k//qh/8YPDbRDsGT855PtzV8ryn78lT9O
toH8l8M0DDsCJ0gZCIsz6p8nW/MacBeL75kKz+tb6g+nhGQ38aczYmFEoAIuR1lM0hyE/9FoTHIu
/2VfErAbNEGQWGDzqf16m3RRYevnaTS6N4WogQYJwE/Qn6xhQnbtGiyfhP94mPAQZhTKhHdVOYHW
045JwhhUDhiqd3mlTKM4NY1r63Fr8N6QlKGEHcm2zu4Z3nqKWMJdFgNw8XaF7gs53LVmlrD0TsIb
JIFLw22jXdsQU7/tiTq/ZtHw2MrEC9eWMKCZxa63yxkmTrtG4b9C5Xhn+DOP5ExVRb1WAUFXSnQC
kc57weTfvC1HYKdMuU3NnJtUS3PIld+pB06N2TutwuC5yWc7ZnKtOos3EJjLG5fMQ0gbTfDJwLFS
8RGTO29HXujIcFQWcLbBZLFFtfLvM6Ixz4qnEM23Gj4nvUwfZqfFFthBlU90rFt2wWJsV5UdE9ls
K6PeZ3MBZImqjs9Yw9Un0diiWlkVynMV+K/5ON35Jj4VRLxiOvJHeO47176HrWEe8MRb2zZdGq0I
CfO/sQP1SA9qzHM+TeamHZB0VrL2AgD1XaUxloSEhwbL6Q9shAtCn13zgXWTKjCKgvfz7E2PQSOm
kwHTk0UzEaOxCnn3HXi7JV+5H5zHFAQ5ZY6VMO7jovT3o+Oym6hG63YI2/Ipnr1kP+MHfqjgUK77
MWI9lH4rcAT24qPB+V+uXCXse/BYy3wzZwDred6xT6yZM5QzYXPuiG5agiEh+w8BQyAcdzYBJQh3
KfNaXsnzZ2Mq6p1P8fSe7poZrJigpa4QHqRwq35HHVx41xmquq0MICN7Cfvjfuxmt7es3djLlmV3
9ef/bTMh+/iMCYLRDa66KwVFwSlZmCiATYfyVIQNXsON9wObIrRxwc5AXdOqB7U7zLhOQ8t8/e+K
+v+aFVJX/Vsl4obeke41m36ZFv74S3+sqQRMiIPQBhL8aTD703oW/IvYxbLMekBwljniv2eFdvAv
a5nDm5BGOJEtqJ2fVlgmLayLDtvHq5vtn62wvy6wAEsAnQigWYz+eRVcD4Y/HfzQI2KYi2SxeitE
i+R87j0OFgENeyAYlygCD735Qm/xeKyVlMMqrfzggvelPWiv6Pe2stTebBPT/DGd/o/8MedtTzM/
GpeENxGxXKKypngjSoyYyOkwxjPq9U5d3QcYse792WWtZ5HEO24tLvKrnzxBK28jO2AK2Tfr4uo7
pyLeemyw92FHr6/edLJn0d10dawz0LCeixhrErVTi6l97l3D3+RXrzu9lIvxXbqt4R8wbCD///DF
Wz9c8tXVMh8v7nmGeYuTPnBydQEZjcFeeo1dIGvgu/cXBz5Dz3Q7wiRgdV/8+cHg2w+z5Xbvg4rm
yUErsuWs4HkEazWlg5H9+oUpVIXOKnWdQtXG2L7yM2e0dn0o4vzU2lWe7agjYdcK2VY+lsA3siEa
duCIPoxYifZ0BuuTilJr33V280qds76HsTtu3LShGqo61ZXbPHnUkD1YwTjtvaZrb5iE9KfRIDCe
eDMrbh6k7p2S9nRbRvHOYIZbk2Wwqoshg2fTxixoYFapYHXn8VKFUHsrs3OGsxFVxiOMpWDkFDA1
2yHpx9vIm6lLi/J7PXUEJOag9NgTY7jd+ZkhX8gFQXyvY5R6ukln3swEhC6mn9UX4qo2fjW/eHD6
2WPKZlPicCbF2Njv00iTAGJoeD/jGpJTKHYK69zTZJokGzlVHke3dvZ5XpS72mvjbI3pq1s3kKKW
06l1IEZZ00dCaxQGQbUdzbo6yrkd1sjn7iNXXd34boZJh4nzKWJ2Rf2a659iy8yjTVia+SemQM1T
5VXpdzVYWH2yzqjfqSaZ7+xSjLd2b3pfIy92Qba3assMihG26Ns1rh0atpMKdxzXXe5mphNYobM6
/pJx2zOJ0OO6JZyBXh0NF9PrhzuGB/2NMzTEPCTmUAk9bkv7TrkSQ2LzhVqb8VmhSYrOxHA0CR06
Mgov3AHObKb1TADsE+5UjBNjzrvUD7qtEwzWFxFRhlik0/SNzrPwrIpYbvxx1Ac0f2x1cD/dZ97E
TNVDLyYa1rup3lSDPRH9ahfGJG9gQXDVaRpc/arwgM/gYQL6wbllA/4G26hLneeTMzamt4LP0OLv
1NZNUDuVg/pm5sfem/FpwI+NbxH7ypsxHrh6VGXNa9lDd4BKucsn4YDL8EP5WtB76tIHOeineagh
r9OQzOWbVbZIfCGjhSBcC4ijPF0wiySdBTLs9z011jQuYNt79EozcfZeVrnHrNXvg3iYX7x+HqFl
NPIYuDBLmN4FBXZ6o8Lu5Q3PfcyUeMWceyLaEM0liYcEJziY93KYVlWjvc9l6AXdxlF6BB5Dhru/
wzeHt9KCrbnC3++lMAjbuLidsC6IFfDJ/lhFVIhvaMMlMJeGfn7vVBXWgj6JxH2Ty+HR1bjmVnMZ
92xJyya/Z7xc7xmD4sagAb4yyDFZNdhIjbHJZTm4KeIA70MX5sUHNkLqknR2C6A6F/aZMZjCTNEC
d8HFYt4nflo9AX4x8o3V0Tpt0rl563KPBvh4pvjUz44+k8GNHxIxZO/rggMruV+K2SaiT0U9ZGSl
KxZfp8my1zTiPLmiiqVEEyLB/dAkU258qgnWDGsShsFFQN1Ith5+NH4ptXb1TppF8A23pTpNhTU8
R36cr3t8vher7ZlsY6SbwchrCG1VfDBFChcVTVjexEGf7ryh1+8cu5rTVWi58SMyu/hY9UVy8aax
sA6NbqIHKWWN2Xhqs3wtGE18rhitkEiATeXs9ZTmW1xO2ZdYBcpaOVRlnVu/oIojsgYHZdpeQozZ
1IKSHJemS6dv+Dji8f131vfgEhDS3CnPbT67RsBHRJTV3ErW5l062elRZ2LcqsFRW9aG8Zh6Wfip
z3qLP7jpWOd5yDObwP1EnQHRijk21gH7x3KdOsq7pfKAA7o3iThbmY2lTvA+CMX3SPI3LQPd66+N
oVx8U3CaQFe3+ZK95W2b2H1NbXPYDL4EwKJG+0NitfUx5bDwEJB14VOLV6EaalU4vtv3ZOhuyYmw
5Dj5bTT5IWVDKFBeR3GRY4xMJAr4ABgnt3Ut07vJqby95ODAX5hHcc9slN/pkPjDnYOrdS1EJzZF
PIlVp/kjAcfyOR0y9aiFPd5IR0laeuq4fKZuon/tbYoiMoiaG13gBV32JS+5kVWv3KUOCjy8fJaO
lODTdorD+LapeibRvE71je2rEac0jZT22mpmT267yZjkZih0YO8mbSTVZpw784Obtm25Va7KXqCI
U7+BN9UeVxE6SLjBcsSMq6U6HupZ7A2cpanv3YNw6o1115v6OWni7AOHYn5d8RdDpv29wdDmMpnu
u2wMnX2aFhHnL6m9eV0y1Dw3yeC2RHQtcR9mpaR+M64+TzQR7trOKDZVa/L7Ck3ysTwsafnZdlTB
v5n0XwWukK3pQj/nJaqLs68a67ZhOeMpaqYZiG4v+hX7LswZOQRFbhBPZF+swHtuDMvdEMCj6nBI
g/qU4s70FtaNITkgYu2kjDEcyq1RqeIyxGZ7V6Xp9ChdK3k35j1cIbexMFFoOMPIiM0lCnBSsCly
zrFTxZuRYm1B16ZrORuCvk2zHiRhp5VTSPzci1uKekPvdUhH9eIHqsavPxvByZM0n7HBdITGVlEF
28maW7nSg56PfkrkEG20c29JNc9yBem0E/hp54Xuk6Yg/q0ZvM/AOkILSylBirM90dDigSg+Etgq
5L7jpY9eVc1gHLgHMMxQ1nbqU82bQOJ8VAe6LuS4oWAqDnm1SvZfVW7776Day02lPIOkUDq5Nz5l
UJTQBHa99ys3T886nrIRB65X3KWlP37QqOXYjAfvswr9dF+5Eadp+jmMV2lRkuwzgy/3qqFeAUxS
Qag1tmZeGYoIHdaW2npAaIuLE+P74D7qvPp7UNLRsM7NyDzWfpqb63IJETZ255qb8Ue40P0RNfzv
se7/c6zjZLHYsP7zoOwMtq+iHvXnY90ff+nPYx0I1cAJpEfk8OdAUQAgBhUnYFiE7+LfE7J/AWzh
uCaYZSFQLR/+vxMz1HJBNsmyUOH+ITIAQsGvBzrgeJ7AyIaI5y/+lLclI9pyU9WhXZzIUbOhzHNa
VdC1r2nN2pWkaaLCuzMcp7ok9VTezQObX+UXJkjuAIyWtQRA0zabp60WY3YfXxOiJEDZn5MaHUkg
ndolSErwkkyp449M4ysQwSxk2eDtpiWA2hNfuTWjJZVakU+tl6CqV9n+vjCDeB8CE9jLa6I1KgyY
yDR57Ock1sdsib52zRRu5rnhLWh31OvSL0BMlqrA4XNG5Uu2GYlLrJmz9/vUEO2Bdp/wUl0PpwR+
xmNnvmTZXH3xstw/z5kd2is9+lgOlgzusKRxs3B074dw9IkAYZYx10ttydGiDvaQaWG8DoRxv3vL
08mi7B+rsNDfolGERD2WpzeJ626BsuuLbORwIq3NIz5l6USBI+3SZPlN3tyEBeucLiqs1pF7F5ll
dNMQMHotr6sFerC4Q/8tj1OiPvXBqIA9C3efxX7/Pq7b9l0QtBjlKITUL9TJRZ+0kbHV7Bw5rVw3
Sgk8lKgUnV8eIZ57KIJmosm7BLheBDPGLwrpvFsLOXzEKCS4yGX+kiP2HII5aXcWK+LrbEL/TEx9
b8yRc8p0W5PTmucbqgn7del4zc4b/Qa/LjXHaLdTJzS/zyj7FCQBpjyuUse/VhjNjlFhfjNZDER1
Vbh80THAMmyF3a2VgNZLHTPejyrMn6pSxh+zNuEoNpQ1QY2JpsQtPZapteFUT/F1jA8dFj/33lFp
2Z07xJiGogeAgSs2heEuXgS8PJpMXjwNMhJzUlQKh13Rd6IpHZrliI6+4oDIyzuNy4fEBQcpCajf
RtgHNg5JkZXQfnGuWyPFpWRb0zrjQEHKnF0GRn/ElQ+hR9gYMkAkX9Q4SEDrtePuvZx5bVWbxWGu
Z+L+vYdrj1YQ624unOCRoH685kWLsboApcb40NXOHfXq/SuaZnY0GefyUjaMeNM3HUES9L0b6Blu
s0uDtmQmkIafKBqMjFOohCLFzyH1qxrMpoPRM3SXnmNEuO2nzHpugzwsaUdW3aMFYeCznkz4PzXH
OfAVFOaw250ulKHm/oFSnYE6Uj+oDomYGoqb7FEiRlFpwBnBsj9wSo1vlBnLF/qjmCMzVZmitafn
/IDn0we5ZHpnRhCTeYS5GTyhdFXUgCOqLmUceZ9vaugXFPCVxRcnioP3GlWZTNWCpdL22erc6ZtT
UxbOPWFVJbpxWH5Ko66x1rlOsUKVeamfeSXrckU5V330w6qlHrJn59mild4uXXGbutWPVuMHckWH
XLvVJlENDmRy6+f1vGbeStl2D59wlHWyoCa77Ty0QN4ryzs5JqQhBuq4P7UveWd3HSuatidvTUWf
ue85UV8gjDj7KjFBIWAGDeVWehrKcxYH21mymPbCxHMSlHh59l5b58dostVdJsMuZ/NitxftJ7hY
2SekHykwU3CiLbxCLGZhdwwjasUoeRjqz7031RyuDb85KDMAEOiYU3MvG228Vo6HQthYaf8wqYmI
TzbTq1IZaaBXgZT9jn2++uwigHxTeTw8T7K0znaThMW2HRqspLYz6XAdhLa6j6cgJI4g6iU1MoTH
WBggGS2zfhdlTb2huXGAPqABHKF1btzSO8l6osG1LGHPEmra9BHnjJTR0raypILZWTyRj+n2jaYE
MEFc6VcU+WhC2tlUruEluVtljvPX2cYfu+0t2v8quyu2ZrWMznPTT++BLOR9dyNz5ZbtWpLvSD5S
6pSXh4ncY4Y9Zspcxh+xtq22pTVgatL7cIS0IhhH3VvpEO5mKydGQ1fpxbW86IFlcdxTADAfe3Ju
jizLiwKlcwFkGYqVmaThhwFnAl1kMDJWeBKGU0wf3Qe/dBlakG/sLn5Slw9mNxYPWMXVjv4wCjaS
TN4FSOrrqoeNmjo6YivP2249FhNUV/JVO+V7KqUOp2BjGJj8uG5m7LAtxVyYHPcX+28hVwg+uJct
fvyZghPmE2VIjHZuw3fS1+4xTbLhKeoMHw5XH8bf7EUfKK9SQbuoBtOiHzAtRElYNIWIL/5aLzrD
MGlnTwclTUCLCpFdBYlZGfMhsvJpl0oOXUThu61qabrMrnJGtygbOAbQJpgsroshfVDgyFfOooKE
V0GEKBtlFDPYNTcVZzTuqAJ5gn4yLUpKtGgqy/V80ovOQrWKPrBceHtEGuM+uwoyQgzOYx7M8dcQ
leyQjAYEDw0KlM+hNgeN2pseifQP5DiC4Ngvyg+5EYqSFjWI5wlhCPosnK2rXNRcpaP5qiJdBaVu
0ZaGq8zULIoTkqZFCR4qVKpyed8tyhTgsfHY8GLEVymGuxIBy1yULOsqajkN+hb1ufFncwgzClNR
v8qrEJZcRbH4KpBJrJNr4toe09Y0e6AOd/jM2XnYZK3lPotFZxOL4tbGy6I5XIW4eRiceYtlRFTv
SqS6RJQRK3YMzvpGXcU8k5xavO6LIXgGgpK9g8fQqAf3KgISdFbwRV03o+YvtZR5K1xaUfb1DwWR
EQRyIi9+rjxovwmlMNqMgU2FEvAzb1cH+NRjrEHhOkWinC1RpTetzkF8dq0Rf3Jq2yEC5fKIr+md
Np2tHmgVgSJHJ/Lsni1rHPt2X0UZnrYTt6zQ2QnTEYiSL8Qxn9n2jh+zzChf034UH4K2856YlNYn
pZInVXrTlqaL4gjyr17DVirWXjVe3Hx+ZgH8To/Il7R1n71u6F7sqmEHIelo5WTZPXuBkR5cz88f
KHHeDrIwbvnlCJJYFLKVWau+27PTl6u2VhlsfmX7mA+6JD/oamofbYwP07qjtJURoA6i6Ml3O06Z
s5gfY8C/CfLm4BTGD7/Of20Gf2czCEjs/e70dFt12Ba//EpksH78rT+PT2RoEJ6Im9AafxXG/u00
wIQAC2HBK/g/eis4LP1xjrLtf5kCyYrTlbt45RYL8h/nKME/GCDWURMvMF3bwT9yHtjy12MUhzUb
P6G0YDxYVBSK5b//pIslkx66KrH0kcXa8zdpalgXEwTh2efYs6tU6lNAUWOiagwvfMJRrY9TUYYE
QBPanpierr0cF2EFpGpPjBgMem/lxcpH7XjyyTHS9EmV0LYCd7S24nSkFA7LbbpYUkfK0j5IHOLk
HbH2MSkIz5UpwS2Uwus3wAz1mgJ2Vs+2YK1niuO+A+3zd5bcN9YLrsCSUsDGLQgIgqlZ/vtPVyBl
Z4XMhyWPQT3AhJC4IhNfiNdtu3wvfu6fbpGHv9rHl1TCTy7I6+dh9iDMiMWEdpE3cp+gSm2Msqw+
DgtHfIzyF0bGxB1DrsHvP+nNEXn5JM8WlodNxUGYXXpWfv5mM+ZxTpdufhxgU20Ewy/m8A7kRmxX
73qRyyUUHV5+/6H/x9cD/uOhtnIzYZBf/vvPl9MUzVAwuydLzTRpZXS4fhvmBc6mGx2ssv/80yCe
4NUhh8K6+eZiRoE/JGWRUh5oDk52LnUx70ZXW8N9RwPD7z9rQbK8/c1BMFnqXGwToshb3/+YRaDv
MzM5qnjMwYTGKKEbpYpq40NAWMVkPu87xNDbAW/jYc7ZOm+TBpT+73+Ov17hxcfseaQQGIKwqPx6
hXOr8aaiY96u2AAwpmymZuNGYfgUuDUOvN9/2F/vIceE6CuQzpeMzVvdXCMz2q1202NtzfPjtSGi
NXiC67jO4uPUJGCgvJIU9t987v/1JZdRETKji6HAfLMuZVE6JJFbp8dyUD2SBr/Nwe6GgVAxTRK/
/45vPmuJEJmYlnAh8Ou1iHT8ekEl0xSrj4PkmPCO36iRfslVberpJqIj4P3vP2v5t356+q+fxUxu
iSt5FH9ab355aQF6WDP5pr18HiywS15xyhO7tza//xyME3/9HKxpwRLP4XYVv36nzs0b7VZjgt0S
1i6zYNSYlZxKsQp726H7MSna1ahbkv8z8nu4RaeKz7//Gd7cO8t3tQhpgYSGzclMcHmefloKkLZg
ThIqP4Y9KIva6hVqLYegc2hPxamKfMRA157+JmJxvYRvLrFgCXJdm4CYgG395mMZBFZz6CXHGLrz
R526xQkq0nRXs6fea7sum1ULsYeN7DRG3hpP+NRTLFCOXy0XvNtr3QfFKQvL8BAthrqQM+cpnFPj
h3nzPxo//q+f0+EXs0BUA9zQbz1/mWOHA61+xgGjv/tCHFvqda/ygF9R7g4ubjEErNWUGp6HhjFk
Z7MX05KoDMNjl1XyJmiD8Dgmvn0XGG5DSX0fV+mmigOv3//+N/nXu9Y3uZoYHh12JH+xJ5pBiYxK
9whYMxPqR7a0N6L8NO3295/z1ycRnAG/Mma7Pn++fTcmBoGHENTZEU7QDARqmYCV8Nqo35TOu99/
1tvlnNvTN6l9A/jCZAXA+Jvbc/IbpwGzw3Je6WwT+WG/MXPMaHjosx1gPQId4zDdWN3oPdN1Ge0R
hNq/ubCW6SxP4q+3q2/j/WTIzqaAH+fNKyzXtSF4MsID5wU90YIoWEzbYLTrY0Rr6CMeSPPl2tmR
gDHHIFjHRGSTJNP+yqVv5uZaJR4wQXho+4BwSqPSGqpM3nYJmB0aVQDBhqeYHMNlzu3we08X0gd/
yufznOsRKqWi9dqDGngS0BNuem2y4DbFIC4OA+t31Mmah5bo321ckm3ZmHViPFH5MT9OwLW7VY5c
f19os/2Sh5P5AjcpPONYRWIMgNh9J8Xh1KeyUMUMSK4OD3NjScaAaERkfjwIPisoqJIiCiXklzgI
rdcSOtb7wbZrBaClL4w1HZ7ye963kjbSdrTjbeOn8TmyebKlw9Ji6T556WIW76qJnO/4cnyxLgu2
jQsK3o/WFCJH3c6MXbkfpMlmqPTG5qvv0dNcpsp79tWg/Qs2eu43nv4o29FXz8fXtTYefdGwdjKa
9J5nGTqbMQuis7f83QaZ8BxNDhxFlQyEELwkN56YkE1n3jP5B6Wm4f56eUOXLKAoY/OxtlWMY38G
DH/Ede7aJ0FF3DmLIIRuFXlIfDrX1aqzqDNtGb6ufWs0PgOL4Y6szBEXfJ5bNCUiazApdvyE5IZp
xk9yTOTHTpu5sRaM4R/sjPbQTSr5dwaGIGe3raNNo7zkRZtAV1chSKFoH5AbgP5DAPhdGtn2e2Ck
WqwghxSngqDcSx4VAohHJb8g0gMG4qEhaBQmxfzoDNgE1m2mxwezV+N9MmHp3HjSSj7nbsvSxADr
gzWZMt/ay31YMNM9+V0KgmpCbkk2tHuzgbEKst9ln3MveUU7n6NhyiEVc/SaCPD0ZPMcA9sd5dTN
pouXNFzKF8BDkzK8WTfcYFuTyMKXeFiC/aPP3ess8RkdxmN1gLIx3rlOZTy5McSilRnJ6RwZeXrK
/HwbzNgcRi3He6BHatemeKWiYV6aiGnVpDhcE0eIk6MJ4vcG65lcJ0WebGCGmmfLLudTp0z3YHtO
+BS13raSuCuY+GXniU9bh6Hj3Rezt89AoK3VUv3KmM5+9n0eu1oWe5NTPUPFjoi/Mc5YNgRzS+zP
u2AEz8qUOAexNEkmEEl/n0TldEqtYBfHyt4NXVydcDsiJBgdU3vGLCvoNOkpz3y9jjNaWqa+RQBo
JKZBRz5rHHtn2I33emxpbOrtcdNPvkRfFvbOUcl7yqeK7dTU4iZ38rXZMZqp23LYg4A019lM9Dae
TRf3MLQoQMUXEHwvQS2+1B29t6lR2JvJlXi0UOxpd/Y/KaxQgJDsOqft1eet1tXic2HL00wTJzPm
5C52E2ZM0n3q+/CmKhF/Wjzl21hO4ynOCxZgueyRCjHduYltL/ge9WgR9zkZPR068+zeZp6aaBWE
4OQ1QbYsIlHzTZlZfZisCvGoDPtQrabITk8WvTjWKjQi77Zzcn6gKqcaA7eMmN87s7R345AzP2x7
EdwQE1X3bJRkvBnIA26QvvL3xMii9xg+hndT5bB/qJraj1Z1T5V35sEoDQtGUzJr/a8Aq/RxzN3x
iNWGFt6QXfRZR+bFd4bh4g3TBKiv67bL+8eh1a3u4zUqY/HQtFgqPJ40SpuxH4qVyCq0pom9SOZj
9ctKt1m7wGtZikqAbxLJbuVFgXeoU44+eLizTcE2bxfMJk6BoccQo2tR3Ddm+8HLZ7WxsCneSTXD
d44oOE03LVmzdIcjtLgxgLLuyjRzlhlxs3O9LqIaPBpu7G7ctEmIBjh0JgFbfwg+2+nYMNEvRbPU
wWmDih0dn2zFvh2fHiP/uS+4MVP2DhwRcuMxn7S3LSb9qax8Z2cWbf/cydL/3soR7rhbWqS2C8f7
OA6Msvamk6C8dMO4gsvKfqwc1aGe5+BuNJT7yKhvWttVVa+NVnkHTtABgWBLtKuaCuNvNV1pWwrC
JpKyNpw5aZ6DUA854VrrFhdOyRamBDHs5cFjHiqisSHyKYf/NJaMKWAGGonB9KHNgxO/1ODd6HQI
anGYt6vS6OXrOJvNo9caTA1U2Wz8SokNVBbsVWlJ9XQYOfvBMyCS+21Pl0Qi32dTw1C5bexVEVrp
MUyVWMKOycZGQVN9aO17x+HGDsqzy/hgHRaBeIhUTqZdefYtwz6UrXomJ+4oa1P4Q7XPTcBM+fw/
7J3HbuXKlm1/5aH6LNBFkGy8zvba8jZNh5AylfQ+gu7r36DurULmTj0Jp9rVuAe4wDnipgvGWmvO
MTv/WStOiYWmWfcdEsm1Dw4tITJD+IRbQ07GQY2wLiKd+6k0R+dKm8AdzTlk2x84lVzVeMPK7ZQZ
lQtKpM/3pHp430QmaeJUTXQ+GsKvNmHoEhluBNOrohy/YOKjcYcYhFZgckSQjBqYb7obDMTAV724
omLHa4HRgALAqo65NeEYAx5yOaRFflNLoa79bhwPTtPFeIgD/1DAhjwb/NJYIdP2z6tmDC+JOvf3
xI8XL1mJ9mybQfr64kai2UlJLFsgigTWHEFeZ4Yu6SWlefvkkTVN8ve4bZsK8VUgZhsJFkivZxNB
18Ai0BlnUa3Zy5KAABk3LgFcprM+B1edrM0KLbPQyTYr7B8DczPcEXWYMXuFp1JG0USgt65eYAv3
+DNTtGIB30DY2PN+Egz1kS2qG8vsu5e0zVizsYdBawoDoN5q3btek4lHZerS635AZPXdlemWY/wr
NqaGcQxjFV5sVVImKeNXI+PychS1fZUMQj8aUdi/uG3if4t0wBSxLAMEjaM5+8iGBEFxHm77sigP
hnSnI2rVIGLq3OOmt5IrMyuajeH3OdEhzaL7HDLI17JALm5PHpQz8rRANoQLi3x0+FVqPLhlal4S
FpJv8mzgm4EQkPl/jllbsrsEwray0mY8WOGgjhZpc3qjXLtiOZvm6B4gmj2tR8zkZ8ytFy4d3SGe
SzRNa+h0xgMjY3NHCDP3jY/C3jFrdaznRP+oqY0WbVm+KY2Cq8DE8XtI2DvJOWxxLmNoEuQLoh0+
SNMJnyZhO8+GXRt4+/RwEfpT9CBKUNdWxZ8d3TF4tMoEoqwW7fewdhO2k2awRr/8yMY43KpQEvOd
NXfSeYpQvK6mmeU1zEMequLJFKW5Mn3jzuuxR6ZeOa8xc+0wuMgV6Gns+ZkJTJDNCZA4GI9W2UZI
6xjJlMRErEG8vmS5HZdrgzp5pWOydyY8lxh97J2WwyuA62BPLe+um9YOdpnlQ+Ur5NHumM9ZSY8I
ReidHwXRWvi2sSGMgQ90OgJFFMVez9bzvMAtYyLS9/YEir8opnyPK3q8byQzGFv70WVa9r/IIHVW
zVyUK9n39jGhsbtlPjEek3bKD4FJe8Aee4ardQuqDETBCxOgYEWNz1eHjdDR1ZW7JcGv2RWD6i5M
NULWtsZ9JmEeOWy41hTVEhPUeD1g6oB4MsqDaLHzmkXvU5pALNB+zAeiCm9Gq0Phmqd4ilT3qqCp
bWujmveWJDi1aAJG/Uaxa6danjMPsVczsrF06G61Yzwn0t1VgB/YpwRXZdEdC6P5NhQzQ7HwqCr5
CLfikiWXhhFikHPZzr/ILXgifPkO+Nq+Zje9LtP8OTATPFgZTUpPBS8W4/M1gyI8UoYlHqExtwx1
7ZcxsNhYwYLZ+LF9lstWbeAf7VJdo9/2hpWO5I+iD2qc33S1V4J8hm00aP2F+KkfY5/AmNRI9nH+
DuspmKIvJhYnZqOtnx1xP/TgYidYUYmzt+Zt3yRfYSx0jLLiC9E8mn6vsVU0wTbuknvPiWIgx0GG
473XXw279bfjgE2lp4a50Lo1Dmiyl9ccmDw4N+8r/tsSOR7ZRNidcc4njaQ9OqRLOeEFkA2qwWIL
jcJ7seXK+UL1wmh3cTHeQREIfpoS7eHRqHMaOgRVd75JRIk9OOdoh7suXTXItW+IAFr+nt1k6fNE
0xlDNiBgxRRX8UR7Q8ZMlK6mm6qVmeZgATs8aquM/dDBc7RnXCmtPNj2RpWiJApomspuoOTMiGps
NeBSP8rCXx35qDzdHQ7FlUBB3rIVoZACh1NRFkU89npTsbzQZ1pmGlOlw286okAIjYYao7LFeQq0
86rhG/fkN+F0abiCKjnxjK2aGmlepYZI+q1avLqF9liWBiav69JaqhMrGfvXdIbLksrJujCtbN5Z
EZPDOMMmjcSLJncE/+DO6oTaStFSiaBfNV+qapDiUsX9UvKSvDWtY1F3X5qyZ+uQG9Lc1xYkAPb2
/GlDlkTrVhToiFsxKHmWR32Fvva7zAt7k7Rs/xCj1DeinddkzpZnJZgyDApVe2ZnpL0mnRMenViE
xwBv5aWvPXoEy6Tm7Xj9ktw7obs/CyVwEOqEfg/Iqfj69q8EfmHfmZKy/43TAhh8PqBTqp+7QlGD
ja1Nl8B3huthZttjUGwy65lLeU+233SJ3VKADlPN7q1RXOekMttjBZ4+I8g3L5KaXLEEcKoR8BOL
GBs3FItyLwvRfSEwkhNIUv4i68iMp0mDsUhy62uhTe46ogl+8zC2Z60oAW+P7HdJMcX4nmm4OvU0
qfVocl5uQS+8FpR9TR/XGMOntNmzVaO21zr3WpJYwyFbJTNdEZqXLAaaWI3QxElbub0gjiI0i4Ln
H4LCBTkD9TPNv2RvZikdRX8+D9q2s4m4CqBO8O1QMXT9udqpbBjcixw0y5VATn9epTMTslnQvArn
7Pj23BmQGXZ9yh1w5oVi1OYMblUHDqCHKsvvi+uQeC26a1i83Pk218s1yTVTNov/y70aryoPx7+k
Sbl2LQJ+CWYt99XSikP5Nl96E4DdmcAN8jmIeJEuT4ByTf520C9/ME/lfWQHxjaICVGtMe1vlEdY
8Fh65lcQCvMO/XZ79haxWleKq2XBX5/WluNNlz1/aIs9JhCbZjBM4oqEmyISIDki6XjuY4PtteXR
Z928NZ4sww5/zRY03T6F+gPSnQkj8OBnWomls+Fz3j8qe1FXkEh57FEnPocxNKUJp1C9MmJeYdfR
zCYHFR7D2qqeM6/DUtOMBkJEIpJMNNd5aN1RHHCGpS1pf4VRlLEDRvm9D8rEvqBuab/A9eJfKMw8
O+qKy9R38G+GjGzUtxfW7rL4ZzEX9XPjJxx61F1/zBVwQkXLtUB9iDBgRioWmXTkVMN/F7RJds7i
+6JFhwTOSig9VP2jNH2SeBnm7bu+JTFXcXeUCnnZR97AUE8BHYsy2KuWgOKoktOlQwv8si7AgbQD
TsD1LGfrPI9sUpgcGR5F7vDLFZWP2JRLRofpCJofjEX9jViegqGmNSdqQUsBrztkEx9rFCINzVPi
zeZLZKbgX6RvVCjs6wCIb0vQSkV1in+K9TFwuVIRUrwH5FvhLy+sOeFALc9guyTxecAOjlh0oML4
YMYOhrdgm3yPsg9Aav/qS+rkNQXG+LWrkvH72PsLB4INeUsrtY62xCAj3rcBBV1YXV9exYPSD4k5
+D/r3g1/JdWI91LE+QTNgS+TmwzNbhLeFK2CkiegD5rwWyoXYkyH4C/ceBUN7k1eJ/+FB/pfocOn
QgeQZr91zzfP6vn/YPhN1HT1XLz+3/+4fE7K19814sx1lv/i3yIHCQ0B2KALdpT5AM8f84N/m389
6z9xtjKOEQBI2bfS8f8vrbj3ny4EJj7QgcknA7X4f2scXOQPYqEzMEYOGAggf/gHOaKnQwWmCRTM
/B1mUXh/5ck8aIJF46hpURCE+GC2YrpEn/fb1bj5V7f+dyTc34dA5IEUne0jPxklxZ8jJ0ZIy+aQ
5O0eEXY2+wt2GqoIl/S/pfn/g6Msv+K3eVobBuMoYo7ild8743s1virxiWTgsxM5GU96SeVSunMI
Pd965i1MwmZ++fgslj/x+7zDh4BmekIiYgEAhFj1z7OQmPPK3vDbw+CiBOwNipqkrm6LotmLmJ7o
x0f764TejgYT1YRhK+XpbNcbxaiwb5FmUEXsTRgPrJKCmJw8qvPNPz8UKoslEhG2GHX7nydmdrIe
+ZhxYrEfPYyp26yitLcuTdJJP5lYn05Wl2to0Q1mexIEHPHkGloZQtrc4VBlW+qLLFfZgYD1aR2O
87hqorHYV300/dNng4NCfbcclExiCWz88/xEEgIBqSB4TBlX0aYFs5JojGmm8I+PL+Xp9Ho5P3jD
vLmoHKQrTy5l5hj1XNcGgPsJRtAqD1HNGY2fnmU2huc8b5ubegJrn+VzfKnzcfzk+Mv7evqM2g4A
JQRYy9J08j5PkVvHZhZ1B78APilLTlA2w+PHJ7mcxOlBHEio/iLnYBJp/3k9R6tSkwrs9qBUY+29
IR4S8tSc8Cq3iROeJ3skZiIYt1WL1fnjQ7/3/DgYelCYsWZho/nz0IFwRyuynfaATXGi9SIIoEwN
NOKeYZIySYkpoDdBov/4sHAOl4fkz5PGDOxysjYfBcs61ZstauE06psW4lXZ/qhQfgxwBWFQUtLO
ZNZk+R16VzZOuWZ33plofjuHW0CzYz+N/bBP6rZ9smO8EGt28GSQKe/WFkUvNpShw0WAh4PGAJnw
jhr7HT6K8B7zIIWXV+j0YVq66F7qpeed7JmsVfQJ/XoDgrrb5pXVHzTBiXi6Y5MiFHthZnjxZV7D
j8saYiZIMqzoJWgqATP3zk0wDYyGvZJGh5jiSxKAJFu3HAu6yUwkNkR/rqJC86COKt/ACtAXOijm
R+wp+QbKlr1OveaHhBKFzKBwtr7RkMXrzcXetbsLN7PV41hO7u0Axmdv0K7eVqRwUeGYBBZpy911
GWuoN9bWpU9zb5s67gjFbuzvHE/xR9gLXngziFVySUix66fOugxDoC4VfcF1RBLFbZj2w49AFdNt
PzuaNk848hj0IBVIHXgdkNh+xQbUphuAevMjugThbAai2dp2JAuDCbr6ZTTukpiZ5uopsBM/RoGl
3Nu+J33MWy4wAq7Lig6dWjGSrddyEhI/dagI9KHFiYkaM2koSq9e8/syurXKw7qZGldp5L6qDjvn
MCn9M53HR3e2X4MyEN9GWwDE10byVWVjemZOzHxWbcyLVA7u61IME8JISjVKaVaMlLn+SMdgVk/a
5O8VI7+DbKLsWASie0qWRz8fG++88HXMZnwIyepooUpg5bwdcjs9i0qn3wRt3e6wo5t7OAAz/WAM
SlgQpnDrYxmhBs/9CFyvax/oo3AAe5brpknVfij8DHNQ2t/DzdT3iqAB2kxBx4PhJ0jII4yxZh5m
RxQt0MGNSm97RCPXfsDlXDWOFW4Kxjgbm23TlRqI6ztLmdBCIwTEsxqbhDQm3VIIwRGImMsnWNtK
nZEEStzANSzKlIDHyNxbbhu+ENSCi320jfDKHgLGS1nMNHsxietVSo//GqahvZmiSa7HmSxyPBzN
RUNi1B0BFf2ZDGp5ExqOscfT7Nx4VhFdDK54IlCC0gjTOc5d0ZsMXuk9Ym0CAq71mI9rSFPhi0J8
AABjIMvBMbSxr5gE/3LTzP9FZ1utO6PDq0GE0UtMetc20o0LmBwQ79boVMAoKFiuR0iE3caax585
Y9p03fVjvo0jZApWZ00H4k3sizyK3AfaBoQETT7+DccQ1p60PvIgISp89e2wh2Eg4luzaMxDn9i5
3Lh6pKL3kp4ZDQOOH1bWqWNT6OIKdvLw3IItvSx1FFxDOXAeqP8ZJ0OCMLZjQ9DYYEfTjUPuyw63
v3+TJm35jElwuG0n8LRjGqursWvkhTVSSXdNIM6zmgaM1QiAupOS9zX++41CF3aguAZRKUxA0qvG
Whav3A6JF5wJQgIMT974qpRSbJD+VMBSBhPNuVTFKiaa8b6BoUW4kOwOVs8ilIFh3fNooFuQgdjV
U93tUYlHxaarEzxE7Lm22nSb83yQmP3jqokfZoq9aBX1WMR5aWK5SQMcb6gJ5iO/Nnqwwewdp2xq
zhkbEichQnJEUlmaKeboNDgjOlrsMFtLxAARWOguoD1CG2Fbmwu0Jc5gNJaSfNg1AwI6XFhKtubU
tmf/aijFRA7t8C4bZDDqEHqImQfrHqYgDJSKDY5Ng+SmZBPwMjRKsYz12W1eucy6UnNaK1aB70kS
zNuq97yDgqPwCjOMkHsEZ+dv7ZKhSqCb+uirnjtcUy+wPdAa5JTtv7oAcczUjeg2LJNe19JdsUsp
7mGF0FAcUUNADfCWBhhiZoxIatv7GZUoz/DM1SWL0SV4jKHsckjG/jRVacD2az3ZlO1OvvTUM9V9
8UbVbSh7+VfdFhT/G0L3rZNH1pR9x0CIqteNq6c+KYr9GyiYZly4TWbL5FttFusBT9XaHJc6v9LP
oJTUGZhSP4MfkYqNH2bYRIbFRTC1/VXAvIlG1cKDba0guSTXqr+0DBUFmA2r8VAx1sOGQB/yrLWd
Hhqi3xfHtLNoA3iVVHoZj80HmMz8YHMEYxkkdAktQCdf30Qaibs0Zd+U3KL2AVUOC4B2rjWHxfgT
HkfgrFiE6GW9oVvrRKLmNEZuve9AkKs8OqA6d+Kfb82gbGlUFa0U56FVociWHQrmJoKE0LDf3FOI
tmcOcXNPAx7NfQlA+n4BcG7FAm72FU3F6K11vHzsuoDhp0Fm580gafQ6Fl2TKmASG9NOvnHayX22
iibfljUPOCiCDE8xJGT0m2rL6Lh8TfmGnyH56B66TM5PPEjRDblh0bVKdXBfpkxwpYtuPGnrcu+3
jvyqqEXVisDD8CIfSrbib00fOzTGGziXcEwNs3/ty9B4LLw6pHmr8IX6hvz3fcrUGP6aTH7s6DrE
Jbm1dUUr1HiIwoxFxlmGiiQybw0xJt9K3RGYWPXjzoBL9AUvsfulbw33Syrq6YovldzFTWxspiQx
SMd2GR+EYXU5R0Z7V4GT2xLoUmyNzBmv3q66Eohyqs7H9JOZO7MsKz58XXouWuQTTYWbqtRATioe
xN0oKvPcY3y6LZcYumJSzrZuCotOsenyEpNjeNS00K5DfwktBpKRrd+e5dm3EPgZLmHLtBrOZz8Z
r7yuDLdMMKO15UJEWdHyya7NJi3OJEOlr0EI2EaFqGpX+NjsDfwEbv+MVyHrqpl4G3rf0RA4BSA+
2nlitpaOJGqnbBqvWBSmM7sOy2vcnvMmqYSOaCHW05OJrE8Qxz2k2xkXHv32jKjBYEoJOffSa4cY
85126Hu7umB8MMANtryBkUJbj9eN1/Hp9mIYYh65aej558LLNviSw2TlWxgq+Tb1ZwR4QWsI3Y7Z
t8pLLOheWT2QVl7uNAsOeyBmweeg0tR1w8SAiYfsMUTQu50GC9cR8rEdSn8Do2VWGg//yibwi54d
s+sQx9gzADDf0MNK1CkkpUWW7fcNw756QSlbZf5kMmXZFjVNaSdIrJc3HZRboG1xhwFGbuDTOx2T
ylkZ7iIXRDCyTRCGM+BG6tdmnneUgzttfTW1ZzAa6JI6U49GrggkFAnVI+JblZ0z35qSSSicj5y2
MeHl44NrNFgKA5q6F7iz0vWSx3iTOpA/VtXchAdcoO4+MZ2ZKJhQ7ocm2S9ndO2RoUR+LZEAoKHh
E+ukuMcuTSa3j1phrmNjT22Pcd4Rk/19Kic/5dvQ3Du9g042S4xzhuU3GiraqoIhtRiSX30CCTCF
45LUTMFz4o8vOI1sk5sVK6eIunbn++2wrejA7sOQkTG2NnWO7q9FGdqY3pYdYsyMWhRrRQapTRuS
8EZZ/PBK4wft/usRj/jOHodi2bc1ZxBW7JU3Jw9DFc/r1jeiA6vVngvRr9GilxtC79F7Zf5Xo8Tw
AlmyYjBPfNbGH6IIcg2zRtNXyGsEwVS5V3O+0HxcdlW2dFmxUQfURNWUcQT0PSq3MskRdVekwsGW
TOPvke4FkTsWKr9Jj/129OfqvsYSA/o3Mht0dHZ8HqeyvinLrP5qRFm54qtewFepmcMThH3vWSjk
NrmPR03303y0SRaHZRzrgxHjlt5UUePe4PGcb9JItvd1lGRbxD8eo/9xiXLD57cdPey6YRsTqRXM
6a5vMrpxZp4cobfhU7cU5P12Ls6twHAY6eQiaDdDFTkD02E9Ztl5V76wvbe+kdfhX1qBVua6tUV1
2zcpXnW70sNNOE/VmZoYMKUG8WLKRw1lFwVm+wx0EaSXlru4gWDz4sZuQyR1PE/XrqXS21Koaqdx
Q32TLfurFdl09tXkB+ob0DfvmMF5+hJOnhmumlI7T+byhZRWQWAQhsfDWJb6PE58EjaLTn2BTyYO
+FWHYy6i/nwwpuyHgkyBgM7i5pL1G970Xl38LDrPXPfScp+Zo1bAiWDLHS3ImBetogKXWIWYc/Sl
S63bgeecDOU+OqVXbJH2WIywIANdVcb0mvWe/9WuvBI9z+yvoyifd+g003XaE+jHHm9migp5X6+0
MQKWxVB7nqZ5ekhrQrhr6ZncXr62x4mqAgW5MwMs9TcRIIcNMJ4HclO/jqWiocUqv6JnS2JTwMg6
s+ovrZM6m0wy0kEw4hGfJNgZ76tAFg9VVlQXas7tM3If2UoB7kYaBeMoq31tHJxuMIoD5ZI0XieV
IxYbWnGGid5/whBcrqg7/T1VzLCyjSR8ZBCiMAl7+Q1bxfR5tJzqMW2y5mut69Hb1wYsoFUSNkkG
p43021WWsaVxDVXekko1lOu38UTWSoBCuh3SI1F9r9HgM76ns3sxBn557rCz/VHWJln3oYetxsiu
5qqH8NY5Rr5XqA1hMaTVBej/IUY5XasrGoHRFd5muUrdPO22vi8atH5YU7s2te94/3+qkuRczTct
IMDSJhYlVPMxqDp9k+Gj2rj4ip7GtnP4cGHwJRM8vO1qp3qhDfbdTbvhO4LI+1kj5dx5jFw2BtMW
fMgzK3ttOFhsdX6PN3hYMjqb9k6YGGHXIbAFGWtzN/e9ZjQUu7CzKncfY6C9sDPJfCVrNf7oIqA2
Te3ohelTh1zCrFbCMQAWRqP3QKnD9wRx8vew8EzwB8EXd3SHc7O27D1/xcYv06h7N3F/QmBor3ua
Whjawn7XZ+jeuG5TehkE87DvW48rVvn+HmDjkigZcFGc0Pvi9bH7kPQV9EGd8MK2Abirkj3VFMtg
J0AVkFdv31CDPLEgZ9djPUuMuEgE1KDkts7L8LkKshnEwuDTJnTSKzmGaHiEQRVjY98+wNhs1lE/
lHcllEF2uAb95kKdKX8qbsPEkDdeY0ZQI6V9ZcW988uKcA5XKamMrU6iY1jG+roUY3yRE7R779ao
GhExz6Ghv6UliME46/YFy+22r0lnn9Vo3oahJmF+wFBQqazaT3C/7hUr7kovAfZB0Jv7NtcY4glw
HT1THp2omvZqaL8TJeQd0ijmi8VG8MhCapD0GfQXbOW8I6bh6Io4+Yz9b1X+0irtk02u6hcH3f+3
zlcaAVCEyPylMtPUPLdqHZ77Q5hu6JYMPGyd/aBtY5wAQtgigNrRRva6KptmXDmkuYpdU9JGXvtx
i7JmavOHsiBNsBATMd3JYuShhfWAAvp1HNEXm/B9kaI47dGchx+eoGoQuV2s2VRRJDWIiWaLyTmx
vhZwQ+tgoEk78v4LEgjkU4GYbu2GVXRgV5hvaHf86MiF2VSwAFA48X2dhuGgR/nsUYKM6XwhWvOW
PZSkc0abyNC+9cMN8uHcrYSzlQ2YdiCm7XUUWoc+MMJfsXTEDZxs+7Ybg1/N6BpPEa/eIxkVbbwR
XdUwGm9H6Dw+FB+jFNXeDEYNsrIpN1JF/crHj/CJR+nvLijJL67JB5oWt43798/+q9MFsvIS+q9g
FfKjVfSPEsXJIZJUt4FHI//jvut7QxCMwnhr3AVq/pbi9NvgKGob00IPxOE6JR4au9lTAYDqCz3z
k3HLX6aapXMPs9d22YYzcTFPO8tAXv7V1JazHn50b036KdQ/R7KSySnOLfwS6F2kP5vPMQyegxro
x318uu917wFMSU+6Dh7Uv6YHnqNmvAAtuvzIvRXQFC/riD7px0d576JyC5cetsng89Rd6+JJ0W7B
DOZtHNKnsJrcYBphyqT1J/fvvRNyEQ74LkFsjBiXn/Lb/ctGXULBJe93ILh5g3buOwla3z8+nc+O
cTLdSQR4bt5WIBe2upxlu3f94jPH23Lz/2z+20z9sJxjtlpS404fjiD1h9ZW7aHmA3YZadM+2pDs
13M/JF9jg1ELEiXzOmrptULAM8HjQC38+Dz/fvUAWQj6qLx/AfXLyWjHFTXywYokqchqc3gJSq4H
K2suciNF+VMH5ebj4/19XRdwhh8ELKZ4sU/fvYa9lT9h+jkU5cgqJadb0LLeJ+vJ38+iwwwdtDb9
HRuh7MkoKYgsNbdZ3hwSRQxjVxP0iqfgwktpaH58Ou8ciZPwhQcmEV+Td/KYBF1C/PrkVweWNlRL
RncOWuihbtOnj4/zzm2yPNc2McwtY2J3mWD99sjLusicoPWqw5yY2zZ/Nvx8TYz0Irg6fnykv/nb
PrDv3w51MmykUJWLcwOrUB/QvSOfEhKbp7DHBj2WrL6cHyfBYBrwedhuGpcWn0lywTfJvnWrZltt
U0ZAe7ujli5ahy5Y4SL4En5aH5UzIjQf4vkyzNkMuk3pIBalZczmSm1zW6UK7gg5O0OlaWNN+HbX
1Nrgbonj/uREyaQ4ff0YZdLcN3kBLLwrJ69fns+GE8CbwYIXqy9BUZpXVu/fTVImz8WsvaPOSVxG
UPWtxeu+87KJwmmUZxJfUCIYz1hNTXy2fixCdkdKxsj8i7t6gD4XUl0WVdaQNjrQdEgcD3tZCvaM
gBY0Wr3tHY3U0OvRrdwDA65hoxQePY6TbqjjvYvMRcuQZiAsSXeON0E0rGcvGjcuC0zA1bIBiMJH
M1+8Rdj18RPwzrPGugS2UPDN4rt/8qyFRd8whp24LqnRXfRW4Jxx18dDlLaI5MfQGQ4fH/Dvya/j
YFF2BQ4eCB6nk188CX0/1EV1CJZUdJoupNWB1ryQTq32oR+pi5j+ywPs6+hfQcv/X9PxO68vY21z
Ye37eE1PX982mnoj1rLEPThNX3s5WN8bmr4PGNXT1398kkx5WY0oePjf6Qyd4QibzkmT69u3tEYx
dJCUVYMtw2rSnknyAv11x5SNbAybzt3HB3/nPNlXOYSkoXlDSnDyqHtZBBuhKstDF5Lv1AxkDy1e
b1Iz20++J38fyV0WKXKkULUE4hQfQiHYRRhH8wOWoy/TRAioTdYhb5Hj/OPHlO0GgimEUcgw/vKL
1zDoddTrnOGihrUm6b446TUYJklyrvz5Ty+gazqcGIxNCAzi9LMVJXldAi/jtEThHLDzlhWDBBq7
Xb5gCz8+2N8vIAdja8PWQDDVOv18NQyIY6kLzsxwH2LH+II97Wc6Og8IAj/Zgyzv8p9bEA6FPkdy
aqz5b27s374rhRMnU2kwjcWWuHVomAQVOYle3s9wJnHz5HDMPj65948I/wcZ2/LSnX5e3NrzMSRn
h8bqj1lQP1eT9eC0WYPaV5IBq+2Ljw/43hPJxnvJEwJqwcjnz0+ngLaC+9bLDobWxynvD66bXSfS
/OQwf29soK/iWAdsBGDCPlVW9b45Jgl/+tAb9mIIB/tcj3wRPz6Zv5dKjmKZbDZAOZBtfvIi45AZ
yzS1skPrUNZS7qEp1b+8Ut6mjWKqRkKmM1WfrJL2319KjsrCgb5dQGY4RTOExYwDIEZVFQh87EMe
UIuXdYbMPGBUN5dMsroJDNoKw1xGVN2M9aME+b9XYxOd5QyTdgPbonkSzR1CXOgCdc3mYNkWNIsJ
AW2MfAxsIA84AsUnv/7dGwP4gyfOwjN0emOYS8Y57U2QlgNzmXQi09UYaXZ8fGPefcrQVXoBwCsQ
QydbzsJt+IxEVX4olQdfuuoPZmY9+J76bNfyzgsrCONDVQl4ghr25Gn2cqesm5KFaKwdptlhfDZK
c9x9fDbvrUCSLQD4BYpyrt2fR5lT0x5BE2YoCHC09N5C1xQE3OE0eUGv/8930dSMyET5ZCyMpNMK
Fe+7hInPKzpl4c/l2rWJvC3a8MvHZ/Xey7PEysBHRsgGguXPsxq7rCQvkZcnT4R/k00WffZQ/KTj
Wu3aSPg/hhzCDiqW7pNP1XtrHopYl301ksG/ih76J2bsuH12iIh2UKWBg4LozPSpTud7lutPjvbe
A0/ZQ9K4u3ClT68mMAR0ZFiXYbjW2R7Grnc72LgyP76Yf/Fa4B+ZXERCV11y0tEw/Hk1A22PWtB3
O/h6MJ+S2Kx2BorjVZg6fU6D3hseU8uvQPiq/rqZyuxK5J6zj32EXTMmNqZLab2xGjzm+DMYymqd
flbdWu9eeY8KmzcTltnpxqcNO1MMRcHXZnTpFarm2VIB8V2O350lnv9Fj3QnvDqmk1mSCZkNPYmM
QfU9Zqw7y8V9ORTuGV2kYCXJHSdUhPP4+EK+864x2GIL6nkObIHTD2Lu8RvInq4OQzn/rGdL7UzA
tFUIjLWanj8+1juXw3oTGopFscqu+897ZkOfMAlCY2sfWj9NGg6bQpjP3QSH1QvKFJOWVJ/sMN55
6SCcW9hOqbY4yZPHpG/zaWzJAz8MqfgaJxE0Dkb3NDPbeeXgznxs2qHZMJLtD//8XGG+BUtHig3i
6Urpkh+XtH4H+xiRGB4/Yrjb/BZZcoSzNXqafBiUHx/xvTvJlo02AMz4gKXs5OpKRg6dS7ipYUYg
iq2e0WTpqNsB6MGhkBTSHx/vnW8OJ8geyuHDxmbx5NIWYevGScWlHXsyrHO3HTaERDcbB1nc/+RQ
Ae53X7JhBNf156nVnpuooqREs4KqvCGyBremp+R5oi3rk+XrvWfU4YVafAiL5PnkGe3RxYCdbahV
Cv0A1eNViOaBhLt2lUTNrY+p/R8XRyxgmC5sQGToyE9fQGuk4W53c3mAG4rQxxvuWt1uavoAnxzo
nYUZbbEp4BuxDbGD5X7+ttmuZ9x6ZkgJmEfiC2Hqe39uHj55JBz+xsmG/o9jnDwT8FSz1HU5Bqpe
awXtvT6CqBF3tpZAZHJ44ElkYo0a2hraWBo9VkNLSohgYKMJwKD5p5FElQnjHheYM5B0C2ADbujE
Ue1xdt341g4iUjEmHFphbZb7okOhQXU7rdHCQZsWBMnP5ohZ0VpoRmSCWHdzQCKzWVrwNKqia/dm
T9TlG3DsmtgLdofVYg4nVek6Hr14Dzl5ItYanVbvxMVlb7T9wc+Ch6TKujVXONsV9IraVYxa6IBC
iWjJYa63/4+982iuG0nb7F+ZmD0UABJ2MZuL6+k9pQ2CokSYhEl48+vngFXVn0RyxOiebUe0i65S
4V5cIM2bz3tO2MU2iUE5nJaWQI6dpN32z7f3o2eTWdw1eE7EQin9/RcEfVK1k8OzSVbwqRrbJ/C+
F5bQtiIvaarF9fTn6330hrPmZrFH+Z5k/Jvr2fFUVCKaij3io6XmdD6Y8jC0xSeL1/f9BQvxlIQ/
axPKdP6bywAciUU9+sWeJOmVwo9NcMh7ruQdJ1FnnEqjHzC/RXXxyZZJfHxdqrTcUTbXbxdkvgKD
pQabmkg5zY/xCE0Zrrt2RdpdzzYcnLPHqewcHoHsq3WG2o8TroKBvDL7g03U104H7SB0vPJGaxVB
SDqMB07taPzgGMtPv9sGOqdhJA8EkiZa+63hUHtx53VkhDempI/fm+1qReejJekqpD0v5fOAflA/
CX4bl+mrCmikBY+OLv7/fLaDuGnTjQu74L4S9mc/xUe/uAOAFsotZQaxmHh/HSMSvbHzQvbFHoDY
xOnSahr0nTTa/pMn66Ox6JfrvF0Y9apHJg32au/Zi3eGekOAGHHz58f3ownRgdbHuQLnbVBJf/8y
emUqBB11sefQCQ310rKoY+mS+MviZvqk6ezDi1GvZM+Ci/jdstepGYyKjHdFix1UjIAToP1siYER
qGyTT27fRwOBQ9mf2YKWvXeL32yahJMSpdjXaX0FEM0JIKU8lFn9E1v3VR47n9xJ46PnwmWXxAaW
Xir37TnN3KiM+8s6LR0zaCKzaRy9uR4OJrX4dSm0eG+pio5v5YvrRA/j/RSRbI7KpDjzIk9ufRwX
dy59AWS0wwhk1Z9/6Q8/HgMiZSTqt/7bgXEYw0bDl5Dvh0r9FH50H5v9TSY4TP4PruMiYmdF6Sx9
M78/UU2vTbEilLNnJ6qo5rRPxaQNa5w+n0ykHy1bF7QtJZblP9w376GA6m6HBLD2LcHxuCHnNhRX
dWmj1TIucEvf5pn/SaHiowf4l0u+XbCms5UR1MExgs1mh/Tup29lJFydY132n+w53uqCLDZvIAqd
BWMLbpta0u/3sV3UcPPo5gwz5vStjdULTEAnAIXjBZRvo2DhA6BU1YtNUi2BY81Y4lk1yR/QRg8o
B+KHsIJq1ZnElmltodkgbuubaPbB/xZZhrqz8bajO3j3ns2oCdCqITWhNSPi0KW0WZov+mCSaYeH
MCr9W1p25/QkKqj65c/E64dVPolk0+WTeaNIXjLZm/YnT9NHb7G/dOpS4uC5fXsAm2WqaQpCyovV
5TC3s7FqdeuB5vETaqYPbTINn1zwo594ac+gY9Cl2Pr2tqvUiKaKxdA+qWAO9Kqr1faVTiAi4Dr4
Pwim/vmF+eArMq8v3cZw2Fm5v9mT+M7kgRwR2R5Ko7WJ68k5K2JWaFNaNg8pnOY9OaTvf77ma17j
zSKU7A1WAJNXlK3tm6cr0qaMk9ks3zv57Afx0Dk3VmzgFhKTfRKXWXYPgw32gUVk6zWn7MXgH/Ju
BohFlminDeD8Prn1xgdFTFIJVH2WUdt9t/eNRntWYc8b3cwheTYRWVtSaWLbhHWzg7ksVjwpxKds
MIj4ZYOJMxni19ZnKGLxwVi59IUTx4CZzUGb+fu7pxONcPI2yelbTsGovIabEwH6goBlYZ/wc7mH
NiWSSJ8FlLKMIrKh5ZyjwhPpLwcx6NtpCsFNvPLl21l/ZFlc7GKMXkvbhNyS7LF35HJ/TiQyGbL7
jeWk8YbAoLWutaLdx07lbsa4c9dedGKWUtxIUYwXvLZ0oky8CA+x1/nHTHe/6kDBPtmYf/T9OQGj
B91dTujfFo4ot6VZ0wq+fybHGzClBNKcMXlIDC3e/vlJ/OhSpC/JGtCNzrTxZgHCoRM88mVaAkIa
r1XlLS09o5JHP86ihz9f6/V3e/vUL9Vfwe6VafDt9r/QnKwb8oTNQQ+MZ4XEd6LjY7aMXajKHsZq
ZpwYpR5etiNmEtPUoiuz1eCWiEztVAHO5fUD/Rff8Am+YTnkZFv8L5TAB/iGpnl6jjsgWm3zK8bh
7z/5D8bB/8KYCXSdYw/BBuVXjIP4YpNyoorm2TTR24LB5h+Og/mFZQOPAH+MWhqr0f/hOBhfqO+x
OKVi4yxtxs7/F8eBK/AKMbbbXOwd0twXE3Fcpam9l2QvcRkxbHolfiaP7f0vd+fyr0f4jzgHrmRS
GKSGSrLr3a43KwiBwKblSiZtG+THv6miHFf4NLtPKiTv31c2185SraWGRjpv+eu/VEiiVgvBr0Mr
bQfZgYfRL5oeQ7hTzZ9Mix9ciMwTUbVlANLfLad73kW/rGewqI18kZl8CbXkJeW//+07x2VsFlts
rCmfvRnqyYSQLbFHtac24G98r8KExilnIMfkP7h1PKuMOpy6c/70thhIu2du0VKhYG7k9ekIr5b2
UNM7rYv0ky/l8CP8Ps5RjaBSxp5OcKjxdlfn9iCGMWmrfTzAjXK66XqKxnu6ce5VD9Hoz3fw/Tqc
iwmOuohnOL7/Nk8Adq7k3SzV3q8aODtNTpM+pDLUaMkTKGvojrQLrnA4/vtVQS78GjB8XcK8/emc
uuzMLC7UXlVJedMR6YV3SYMduTjxyfu1zELvbij1F0YF1qC81b8/9XOXdhOhF8UJNSQAKLHTJjX1
8ObPd/KjR56znn9dZVkf/fJueSxFeq3LuIo/0vhZj/e4qIpjUf9nt+6XK7156gc0HGVfcKU466a1
M6ZPMzjp4PPX6328ln0g0D1UFYQyANi/Wd1GHTluS+Ooq6WUScC9KVcgGAGcC+uxgmJHJASaoJfG
5tYG0xWQKvrkPNZ+Nbj8/utxyOZ5PJyubxGXWl6XX+4rllDby0uVM+2b5VrpvQaGXLXj5Wzl08YP
9XJt+LWxpcXZ3uv1WK7TTPgbUVnFsa84bQyGEgKLx4ErFs2C0HicYNBKQ3FY6DrbzpUvE1HYQzQb
/ZlyoQwDvm2clemX1SKlNJCv4gHUJZa/jklr745VfjXVvvkgXbM82GEafuvzfloP+WjvMVzSaDYB
3RpSXinpjnTtNxNi6hVUYW/dV5F1aFvOyjuZFRtWo8UNbWrWkV6a4bkKmWiM1uGz0/BzNaVWeQLd
uE+D2PXicjNZmf49pUmQE0A+j8Y66SkP+dIS0u229CN1EZlzuW4Jn7HfFGGYrgzkNHBaRAv1kzbC
baWTxkZn60HUU1qQ63y7OWfshGrdBm5bmEHoMr7FUUJ/F00d9A+OxpZdbAlPlsrt0cJSu+OEqTwx
dOiiXk4PnefDv3czClBR3NsnY2Sk3yKvzO6dQZKJaoT6Wjm5+RDy3dXKpdHwq8qtbuYz9SHBFFf5
bSDExHAzOhbNvJpVZ/fNQBc1OLT8CqJa+y3k1tA9VqkLp0tfdIPftKOL4gGj08vYDOFN68zlYVhG
5xgV8cmUsfze1qhceXx9P4tplHfGa4Kq1oFJpQ0A/ie7PsrEipVIsnS+dwX4MfK8K6uLkvNIKB/+
YlS8OBA6zoF8cxO7jBom1kfPW72+eVkDt4BGee8UxHixwfLG1+xioAsWyNC8UtGtN9NUBG8lkd98
WhzhjQ4Qju04zWmmQCBCf2vtZLukMHWF2LNX/tqJw/4xDpXmb0yjbzzij4DdV45e1KeAceYHj/aB
27GQ+YvpQmfnO04buqbChXxZ7S34jvclL/etgLGUBnQywJ6sLRs8EAGTnga0MfdPa3IOlHJNfoI2
HCV4cFQUeNMjqXGI6Pj3TVXz2lnQCYPeYpad6d2kRUYtXT70m8T3HLhHPacbRfrkU3HYglHrzwi4
Yo9NfODOTR+O10Pt949zPcsdieiWEwmtNpNtCgtm3sypRzypbqKhWwHcNL6Tb2l+mDPvlqWFk7HO
Bru56/EbfY1S6H7ulDGMjyUftu40cUS3k0z0lULwNiS/hB1H8lsVmcVxDOlQrMfGDECuvphe7J+G
Bg4EPghMUNrD1trUVMM6zp34nA7ucdNF2dLOxy/UCWZfwttZEHs18DtcETdpX9PjF6sx/lko394X
0gGm6sRQTC2je1TN1O84qqBn3e94EGbY0jTQJIBEKaZXGj2EjZHtaM/92Xa1u46b8QaE/L4t++9d
PCXHHHfmpgsh0DIbu1dxx0tpoCXcLHrPs76t/U0kec85Yw5B3LnywQPKeEIHyRYcd4a+flRtkA+y
kTSkpslKtBkPNaPieBlnaloXXepfCNa120rjrZddNq17NBkr0YBtmWtGN0i7/c5Ypn5l8b3NPH1K
Gs278DhgfspGmr9F3xrUkgbjNrVCcRw7nihCxOG3zg85ec6mEtkpX99uZl6jHJQsoYylPUOrQajS
5acFMayYK8Opq5WlZ0+2zUBZ14wftLm7V3MCBcBEF7EOXSwGtId13hVdvPWpMUAoggDFYwiOugJJ
nnfrFGcNmtquXDsDl67Lst4nNCYFNFMMzzFHCAoPLr2EDd2PZB43dZJdEH0tt/EAAiNucnXRVMvS
vjTLk8xQPExDFXcAHA2Lcw3uThL6uECczkCwxaiL3+JrKz3jpz4wWvXLM2Lrs3EuwzY5T+0x2vao
zhjjWMysNK21QcvY2wakQUDfmRnYYmZEbMsx6GenvEtG7tDshgVgbbcOmHAHkmYtI3em1zWZLayg
vYpCAIhFgRuoy6+ajrFHixg9Bp+XXvZYwXq/7LYCmP8qKvrkXISm/t03uvYE/S5L4rK78GST7RtH
x/AdU3TM/Ug7a+vkQmCEetTStLmYxrg9C9P5gf7o4cGTk7f2JiKt1mzY+xlDzqaIq/wCVlZ4mcmv
bkW/bSLilzJa+lHa5I73+b7udWjTpBChpOQgxnXBId7UANMuMYAwuH/X7BJVhMukt5TNDloSYy8p
GHnrghFHzz0DYiMubzIiA6nw10EW5AHFPH6DLds/qN4O4CDm7SKgV2Xs9lQvrXpXYPU1jVgNq7bx
U7jaiNrLVco+s+IRSf18UfyhvhwqHc60wu9dSHhXuCuquV7hFadAI6Kq1QGRDNUCmDDvmtzMj7gx
cUi5ra6C0uuqo8iabt0ZVE+zdViNJIJOpsEEEsvkk9WMf7k7hNeVOdADB8qV3nEr6fP4iLpW0L8O
8aT3jlYPHXQVOp1wRcB2gFLVaqYN4aWZ0hhiSC/zn8omUGEkkXsYPVcZAK+hI7C6sXWkISPj+uQt
hRA4JG17WTgubcepRZd/0HhRSrkvrq01pCUDa2hjNN88qcs2AMd5M6RipBnXQHq+rO8thK7u1B+L
LJVryLnfLa/D8pCmwAUFOmqb4pHp8H4xcPRXtp1qi5FEQ+jg5rRaWea04z01kdanwE26zGv3ZkWk
DT35k4xtCXHLlLBVKEcD5ICyC4n1vGOONlZjBD+rsMxOCxBXzOe8rtFzlLnkx6TRaKvMBeybZpp2
SEZb97ZulDO+WQ7DtxWxOmHDZg2rgb48e634wntJnSgPvMn+TEz1vra4LIih7tkcqZISfbsLVITn
wc91ch/nuXXs+iZ/KQUNpquhHRqg7BgySIqAvaUOlhrtee+wsjAkp9jKYFmV1PkTE1dx9MzKW08m
W50GRzKA+6mzTywa3U8LTrxOpdP4uAuqRK3aLrT30RIrF4CXyo3l5uENzUbWk3AoUK58/mPnaYZ7
NYUGw204jUQBkiT99joGFgVMtmCYpflpwXfZZvy2MMcHSilG11FJmYLg9u8L82aG1tQ1eraHyM3Y
aw79Ge1A0KKxyzLis8w+nzg4g74+s8aSPiwzBj/7hNJklNDV/dm++V0pfvk8FGxIAZLtfpcQdiOI
SGTqkNfmBtwtdEaS+WVwMapm3XU4MeX/ecf3bqPOw0DkiisZ7E2og765AVZv59GgMljoLEgL4EFM
1ixNiiIuTzQLOMCfr/f+kHK5oIs9DB+rEO8iV0XNYs9y5BL+h9m0sAHKddKguVqnPFhY5vyNRE10
4djecPk6BeM140Q+NgdjGxuYmgDe2U9QMPrdCHTo391n04rJWRcRZt4Q7sub+0FyY3A4Skr2Pvvt
na1F5Ymyhs/ewXcVC65CoYJ2C7qoCDa82Q92SdeHTlEme8di5eoQoyUr7SDVMH0W+Y4EKTKlrNyB
F/ePf/4BzKVS8Psjz/pALPUfYm/v29EwDFoE7gYOg5Fnh/vMKv1TLQz9b3nHuhT8vz1d+Jrt36Mu
u5f+VKFAsIdNO/Xg49qyiJNlsKvbVYWWQGyiVrGWs2S9Z/Hrn6Zl0fyowoVjr4Xk6P4q/v23Xv1Z
vRqNAmPXH+rVSdMs/yJ581u1+q8/9z9mZWKkjHL8/ktN2OEf+Td02De+/FWkNqkJ/aNU5n/+rVAW
+hdOB4HIIaUndeLa3r9Tln77+DOZLc3cS0hqOTp/e0KPD4nDvD6ODtUIWFzP62knSOkkKwuIkLHW
o7h+ZkVePSugQJ8UYxzv7ZBHDYUmD+YRRwif6u4yJ/xSjIFWV9mS7PMhT2EguREQMs1szA5dGlR3
u411olQ2Oz/TaJd1RTWB6elLsyAyVk53+MrZ0ZRRY0arUpIXXfnGBLhbhuZ4WSeWXON+UF/BmNWz
uWrSpJtPwsSduk2BKAyUFr4238W7tuzlQ5ihRKvO+7gAuZZ6ogsq2kW3dSxAn6WkH6+rhbRYpyFR
wGGgYuQu0DQRTzsXFPgRqxb3DRNnccrHJD1Dr596omdx3jIASzZLmjhMHWaJlRNbGrXKbFJRV98Y
rMG1ozfGg7GacI+5P/pIRM528F3NvNf7MEo2eReNaD6o1NhfY91nEb3yB7+NT8pWSObpgbLAcFmZ
LiexbgR853wGGuNtS3Lz0TX95M4WfHxeYUiKchY9ZtO3+hoBgYBZYi1/ZwTvyX0cawkFzKl0ZxVp
MiEIAE8RF5zRuJgKBw/7Gbtix6DFapU7IUcQzBvR9xy8/EXvTiWu7DkDnOFOlVoZUeU9zt3YapvC
GMbNgAJp1zkz+WHMWKXe1892WvXnrpdiLpF6JPaZIwx2bJTmBoBZj0SAkV9mu7zOUdY1XkZdaKvq
Hv9XnznVSZ0P28qqFPoiafLAoIRhiQPUSJv88KqHvHUnlS0fddBd9EkVcSAIN6EpkvZPrRjTa69p
qWX5YwUSRkNOVxgJXA1ffE1tFoUDwfJ14tbFIUEEdrRC5krDyK5jVrVX/dgWWHwwssGPr3aaMTjH
piwOoz/dgmokTqz5fvPdLo3wOqdfYj0KkRwkp8kbfWjzExfQyaZBpBcAuMnuyh6RQqUZ8S4aS//Z
iWSVrWr6UC97zameop6VJIGhST/3J2+OVzDXtCNJMP7UpBf6Vd2oCfoUZy/CzG5TTZlfAXyiNTEt
+ZxQuLl3PF4qi2LrlvSCdYhk3nNWM+aHWgw/QwIgTzPlko2Phxnaahy1T/WMG29OaKuPB2sl1XDS
W7F9kbHx2wqIqzkTZlju68iSh5JI2VlYujCOzM47N9xioKgwIDxIZXZgBvODziqb26Yrowsx2OVe
ilwgd4RvlpHb2+eRsokzxsY59ar0sSri9Cu/aLYbx06cdOWc7buiUOeS5M2zYhu7EJki95jUYr6s
7LY/zVuWwXg6IGaGynOvp7TFXKVpgmFFjMkZEAlxhVvOYYHNK7HPxjrUVspLkmPhROKi8zo6aGuR
PAAGHMFukuY7U7JPsJ/I6hYA7nDDkb06CgRsG21M/K/ktFJ2qE57AsyLE/2xc1NYIu5sbo08zmF3
YLklu4MGfobRoqe+t0V9Y7/YPQUHOtSnhzE1abHyYWRJlR9aOzwDYlOsqfjpiBDsEaROdDB9hS4J
QGToixVYxu5HVwzmSkh6i3TCySsAW1SuURTsanBsWzMGijSPTvVdhXZ3oiO222YWGzunsIartLQr
VjTetC/rTlyF0zA9dtQAn+3Q6K+4IeHFWCoEQO5kLGW6fM170uIyHNP9kFnpDg+ZQ4G3K+Ud+dNs
x8/O26ItwUtXqh9Cc9rd7OVjQwOyLjYEBiz8jnULcBWjWwDXCQSKCQ8Rja35Mpuxr610J+x4lNkT
0pVzq0bZn1Eov1R965+bpRk9kuzLdjN84+0oJq1f6VOinzmJRI+HxONcQ7V4BWUZw7ZBf9tpWS7F
sWy8yKpOZSuDF/XYdRH7V8tnP4fyazwk0oiOqkwBmXnO4uoBktpV4N5cwVBDnedEc+z0aFaWceNM
uW0GOoeeQVM503OcDoCAgJ0iq+uaNN2jMq++S4eshp4C3Bulvwmr0vyWdjiUssbOdhUJ71ujTpvr
CP7LudlC3NC6agaHNsnqrinQQY22uxg+lPakyk5nRjOG6yzBY7fi7XFPi2GYfqD2BLMio4qaYWEP
Ry3K+13YGCSw2xonK5D6rZdU1f1ALexyXKxuk9XPO5GM8RUzm/rqLAo4ry3clymRQG6dtsFY4Uc/
BoDEGyuZ6QyiMjhQnTiZABCtOXFvA9C+IBD9xT/nwcUZQNJn/RPYTCMLeqRKWeDMGq4pGvjuSc63
m3Ix25EoQ3JnL747YGDVlkxa9eBFQGA3Vhnl30UUebtiseV1izev92ASZSMuvRipHg2IVHomk/lt
lVltdo4PhhK6lzdnclHydfSM0JaoUWdqNVivlrTPh8ztV1pfdA8kuzh5efX7Na+uv0ag/VNR453O
iwpQB6TXLdVVpmvOZyI4sq12G8e285XdMUPPq1SwfBUMMmjTBrVoRjatjoHQlYU4J7xJOzqAkzVC
1gkzXWh7OxeA8/JMLDJDbDXUigwalKjqeE9ysR7qiXhir1ueaVFh33iLHNHQR3E6tL7FMDiZl8TO
MEKFxdnyAx4raPm7ue2oTRXJ2k+RL1LQA+tssjup46K8LOGh37keusZxETdWVWnvtFebo4/X0XOY
HDMJMFcrETNPs95cuXZkPbdxDb7RaAGldUPv3xg2OrOiakxsw7Vxy1EURskc6ualfPVMmv2IcnKR
T1KzLINBF6feq5nSWSSVlW5g63HGo9+a3sZItOonZU/A2dqE4DJcVJcu1FqasNFfFuHUXKo5U3T2
qWrPmZ+5HwloB7NN4X14tWiGRu0+sBYwb0fhp5SBCH68ALXvvuaLhDME+IdrFL946l8JE8on309v
WXcsAk/z1eWZtilVskXw6by6Psm/1SGTdjU/J6rOOeBfxKAmhlC7ZHqjMSLi0UTxnC8i0ZC16RY5
Tn7SvXpGB69207V49Y+ODMLnIuoqrMQ1Yso6v+gHMsxBuMhLme+Kbb8ITbNWm7ZaYrh7s8y8C9dw
6bV4daAu3vNAS2G6VyhSOzz2UDMl2lTXqA15sLPICHiys8vhVbEKxTC1IfOC10a9NdFNKodrp67h
jc1iODj6VFy0shp4TwQiqYgI5Q8WvvGGLaG5kzrDCuloFtMgQ/G/tqY+3PR6Ft3psszuLJM1IHit
2QrssKoulGz9k1ku9IzIDg+6qzrqUXqKc1aWzGCUE8MDm+d6Xo+LnzZtfb9aAUpIOpaYfrnPX2W2
4m+1rWwnA9OtqLzTsLexFrdeDWorrq4cDbOvZdXTOa5pY+3LhL1tVOHQLYZ5E7Hwf5wd7yS1nNto
Me52qHeLxAZ/iYw3l67xLWFnv0IBmAWgRoF9ubnzaCwe34m+7lU/xGJddcCklZif6nj6zknzlbd4
gLFIOetscQM3VaJDOsMXrBO7CyQV7pEtwgkCr3yT0XfDzyK2HQWhwAeyvBYZixu4ghe9lYizxra+
GoupeFycxdFiL5aLx1gtRuM0x22c5dSdPSHUqnQ5SI5iHMhF523jCCsy0qaLeLLMe/GqTPZG7Mn6
4lEm5wNCdHErh4tleV58yyUsF3cxMM+Li3miw3yHnEsFgGh3foixeVzczWqxOBc8fk8aYWhzMTzn
bePsFQdgR9vE/xwvJug+wgk9L3ZorcETndDsv52adg7Uq0Da6hA9l210Xix6aV+m04Wt8+Vos4Dk
DKLfqVTdBo5yP2MqvN+WOib9FKRV6Ed4H9iPQ2vKks5LDin9RyzhRjc81lhCweItVnewxuxIWUsV
TNm6/CTE8jZ6QWyF3ClxX7JAtA29VYXMSVE706ySgzGW9fOc0kmjkizmvMOX179UBi7/qvX8mtV6
myXhUnQD8u9l9+u5b/MySZWkzhjnXEqZFQ5bg96tVTFF5c8/X+dd2nG5kEU/MwUHnST52y5jGN+T
BZonOqCCnbYcQVoHpxvNTVYk7WVVS6jBvR/rSTBZ+ZNaip+MKlF8Qcf6srkOYz7d60f6b/3o0/qR
69Ge8If6UVnQB/H0e+3o9c/8XTuicPSFuiFKVXMJIFEv/1ftiCOEL6ii4GfgJ6V12KSi8k/S0f8C
Oom/ZNIJY9Nwwzv3d0nJsr5Q3acHlp5fGDAOtfd/w1hlLXHKX+uauu1wmLE03Am4F6Rtlqf+l7KO
mktphuEUX7hK+UaQ4cBlxxWbdmBXjpz2Lhlm2NEyijlTToQ6i0yKyVkSxT+aEMAvFYzcVIGnxxUO
8rnC+MrS13mea9Pf5EWyWCZyNZ2Wlayzh4T209OymfUfqYhGf2UAXYXsCPRmWucaqvgdiMzyzm1b
1zygLuj74yiSejirGSU3cDKYDDl3gwc7OfJM8aoGRhe2+Ii1U/LUKiHA40H1TovZXFdT/a3vTLD+
ZozlvB/Zkk00mfyEJtihnVly6r7HS7Oh+mPHgeXEyRmNIgN0+M7da/SqHvoyT9WKbdoI/lfbmWln
rkvTfxiKkYZ7DW9BkEfQtfGqzunDaDcqEB1gzm4aT2PfYDuezqwQjDUC5LBdd2WGinsFgd5mLVfw
urLQqDHBaiHe+xW/PHdZnzvjMjET+8ixcXPZqCF1TgZCsc/ckelEcrwZ1rf00M+Htrawlpy4dTTK
DT0HK6ruzqh2tafibGOShj4rgcUmVkYkfKKbvNg67PV6DhOtOG7Fnv54RAxj0EhSHe4JBaCi9ufA
aOj9pggUyy6NOWmKaqSCUNWl4fesu+n/dqCWGWBU5CHyNNdVa8Up7NdemMZ106ChyGjDGH/AF1Xp
i58azQu5enYd52ZBG55xw1GWsXXaxC0bDh9D91ENWbfsO4GPDszKR6foFDeqliH9AhkenMTyCwGg
TV4ZRoksNyFqAQ11uKDHnv0lx148lqNEeKwkTTbUfo5eKstNFOnoOxNYvTikL4xEjdet01nJOtQy
JKc+a3Jw22109LzWtYiMc7cDEz74nkoN6sSMzooD7Tr1Fll881SaKns28SgJJtnGIYdSLQUeD0fs
KqK3QIBn8Y1jI9phZYkoY02RpAZy6+5bnFp9G8ylZV8uHfQ26wMV0fxp6SeEW/ItETJt1wtI3S6X
O6O8prD0GuNVUbYGTQgSm5xlhC4JIo+8DIYqecIaseIAlBLh2pNOcegH3T5PCBCYq7HNrFPHS+dj
wTJ3BXmEjU8XP/EZU6qcOfm3LDp34oaFb2c5p7rrNnSKyvBbXMc+3cScLqoUv7AEBX/sDFfdpc18
jj7Hvlqe7AsKjfra1QVJsco4m1N3WsUJIRRPgHZdwPkIJ4TSX0rYCBelLaPHSCXzSV1ZtBH3nGU1
mYPCPnGiXZr2chcmBPDCagkAEWPZKaf2byJLo67Jmd+pJ9372dRxVaZV4Gqhcyrn3ma2rzSgws3w
YFclpOQUivPpmAjzKxxZai3dNJfMj5kurump6SjQNOJFI1AHVZ27sZUzNgFiSc/0APpBnVBaW2vd
VPkr2TvWjRIDxiHT7ctny5uiWzu1AOsSSLG/tzkns4XfNPwzlHagLmYSYlMcznV9dhh0pzxK4oKg
wNJ0E/bpuBVF5O1Hm3bxQRVIqjsCnNvWjpBGuF2bnBh+3N2yz5NBxv25bcbqise6vMaodOoPBP9s
Gfp7RFGKhICo3KNXa4nPOXDm/QBWHl/6mZeQUi6LH26i+6DmJxjQKifjiYjX0qnYGMh40+s2r73D
RBphLXm6bwyNkCU7sclkCy/CYGjnO0/HEzGNduSuXLci25L1jOydLr4BrCfEFnfaehxAkJJcceyv
HDv6a0Ei6RrJZhJYbj08yJi+NFuk5ZmZKVBevTs+a2PRb3pTtC+RpPtZ2hX2lCxuMKeb4tEs5vxi
NhL/ogcefznByN0aWdRemnWtTgj/6Dfst2ZJUQes1bYsm2gDV1d/8uj3WlsA/a4JrRJVnNhIBHHa
aSug69ELdiF9X/SF+1WY7aytoY6SZmPICWIO6JyVF8XDukCefPAGEO+u1ztnZjVH+IU0wU7LMO+i
iqqeN9jxsUTOdFkBb163ld5zZ/14+gnQvb2hS79KOY0M43WDNq+Cwr7gscfKWRkGe5wZQU8XWGb1
M88TsWHJ6q9ohyvPQKWkgSaq+nQuyuEqw59A8cY/q3qIHit3wmd0EPQknMW6Ua0Ns0q/ZU1v3qa0
ap65yptu9MHA8aQ5sX9t+SOObo+KWTmGicWC0FoA9Il+gSZaPuTUTh4ir6gviy4L75UMk5NuBMkc
c2JwZ9SYFwDOpDtcLhNKI1Ds7G+aeG3xbSmMsBVtD0U29xin3e7OghmAUNxqirVGYSagI7DcVHqs
X1acQoiN64XlsYC8SzZNDhManymXhCEMc+OVluA+tsOjNbr2yu5jB/Fa3sdBWoXz0UgM55kDeF0L
yrBILpHCD4GT6v7DNNvNXrdmJnqv0LE8NVGTbCkuOqcuJ323odvX0Uqzawc8deglFoKD8bSr4H5T
wu+K/x6u/nw1sn62OF7azP60OD7/Ofyv/VOu2I7W7IH++ocefvyf/42KcPmTfy+RXf0LcZoF4kSi
gv3dPz5X84vNgSetlewpWVLT0vOv5bH9BSohIJgl8vF3j9A/y2PzC3Ip/nbgk8ZCchP/1vL498Ux
HR8IXVm8L+gskhdvd2KW5owci7nzXi7rQzEzcptOdP/LTflgX8lX/HUF/tdFgEhzwMr3fIeIIAGq
Kd+ncZTqKYo1t5nXsYsykJOD9q993P8Tysne5d2l4FGwebXoGya7w1//ZbFfEhev0ghR0dgnqGCy
RSxtor2kCyTH0ZG0ezDT2m6cbQsXGieEf/6mb3fQHvA2Oqo4EF9YPv+XvfNYkhy5tu2v8AfQBuUQ
U6iQqXVNYFkKWsOhvv4tVHdfsnnt8pFzzmjsyoxMZIT7EXuvzSL9ry+vl0wFZktngljPz0QRvjmM
Of/1S/zzlvrXSwiaLZe26n+DyPpeWaUaa91RaPPzIoxXijFAWaDDKKu7H//6xeAP/vMDdYjKgR5i
4pj/ZZ3/62+EXpAZKiXAkVVdd2ZLpyESdJXqXIi4OpeT+WL+EhOavwsLjSYnrIVYkt6rfokPh4b0
HltPNDIEkUKf5GwjVJwaoqj95ZeAcfglZtQ7DWEjfkskfq5+0vPK+Krn8yGZhpFBvcMyux9VnTwx
t933qbIiUJKRd9pJruW0MAJUUcvrSuNwpd6aEwBRO5XehJ/0bDG9fMtWu/FcqMIPcdKIOzHWxaMl
6AUnsyeWPGGyJCfiJ5PKJdMbHaSHn6OLJrltJwaxNzJXJlgt1U/TLh+bzPxGn/Ew9ozHZvje51Zd
viRsp3iJ3CJNiu9ZkcgWFO3WHYpul6fXGpD8fP5B8dmd7Dy9gxOkUKBT7Jt6JcO5ma3bZTH2pQZx
5XpivNqKFp/zNEMCNNgtE83pB9ekizJ+yIJVy3M2613yPFpm6Uun8FV3Skj1Tpj+zfEE8bmMw1xd
0huaEl+myOdjZ50vghV8EVIJjCu4lpVgudHJ5RJlje0+dzZOrNRhwas7mX1tf0Uf1K1GP1MvfW+9
mLWtvKXF1N/Vjcb3cZZFf4aNR+PUZ/LIFh9SEEqgytM7kV5IM+xvmlIVIYlC4Hdml7dI1eX3XUOs
UT4TZjKtUo+mrFRfzaZAPDjRsClppssPmamdlpDmoV0VKMbPWUo9VWcoK2PG/EFKdgW7vkxzTxu6
3Wscp/1Du3H3V/1wjd3V+GA+Pj6b0oDjpqTajbYYFgBx3gvdRr6pHOvlUFfGR0rFS9edySTKbWNB
BZW5DyoC0gM+oH6P+Grud0W5Psj1hqV42/luW6oR6SfdR2MJAoZYxiJnXUR26F1TXpjl46PbUus+
s4eIrNCmYo1lE8KoJazhivTEl73B38JyEnfB0s4P7VoAvmP5pUw5qtqqJvR04JLP0onqUibzgxKT
V6IbGcwEFXXeWkE9Fu3QXVbcwaWnJqK5q1buDd7RzF48cjvUByPu1s+BdYRf8qG5EgilEKZq6cgu
3TSwSgXLRw46JmKxYged2vFqSbGnJ7nsq/1GX+IobtP1vChO/OEUI7gcBy9PEsfzZaH6J5xUUrsg
8sARQbJPVVTkCJkqa8JYLn4lCupAcm3OLFf3eBjDieLdfwGALKdsyoiHsNNPIzbeXG1b0Y6N6iNc
O/WoT8YX0o6uMMsTAj9V09NsnrQB0Xs0G3ZQcdF7G8E0QTwTPdU5WsrWL79Rhq4FaxqXQd1t37PE
GRwvVYvVc+JkOsVKQp+kqA/LKqNxITIDoHbuNYRpHjbE5Cy7rO6l1xS78gYYRri/eywlLLg+hwmu
d5O2VjgsEeYX41mI1vVrrUCXUdvTcC+V1vhkpOucsmo2DqqWMr6fmMGkqeQvJIBn3MZlMbIvj9v1
pdGc8sqBtDHgdZlw6+Kjb0Bt6a6jeDPFpV+2sU65nV6paQ8pF4BXTfTtXpJU5DlXWn07VM6pnPSX
omJLr8da7ScsNHA40AgweAniQnFuyLuDS+Ri3OmG0Ja6+SlVs/2aS2O6a82hcrG88NnjSLDusjVf
rgTAlydcTYQ/OITJgMma35sFJjnVEK+ssgQjsNLiA0TWx7IPQZTyTUN9Tn26mQ/GRmilUTJy08oq
HzzgwMbBLtMxtNgY8Tmxlu9VtSp3BUhSHnONj8XOXwWmhuPqsu/0O0JdfM1cTD9nYB2WTlce5Gab
19LI5s4z2m26qwgNPaIm29Nh7W/QHIlHm7BqBF0s8pOTOzb8NwKPa5FVYa+bq29Pa3YE36SHTHdS
6N0N2l1wlEcxCnFnZTA+ySNMvjgiRMu7Hso15fFP6fKicXIF6OCciIdUPhsOKzGBlJ+VwFjoT2Zn
hRbi7Dd43eaXZcJ2Y/XW9jbURoC7iVCnnMDlW6m1Y1RU8MXG1c6PZoFvpLR4kwmj+VkXg86EoC8i
tCzDCYH/fJrIdyMf6ZcOf/xdla/vCv1fV/1/J+D/3yKfqcg/VEX/y/F/25AQ9rfgs2jGv47BkQHz
hX/U+K71m4BwySAXlySj7h2+9Ued/2tCzogbTOAOkvhLnf9rDI6722TFo7Jo/YcxuPgNizRQaL5s
z01nrv2fjMF/QYf+Lu/da9J9e0XRA18ST/k/V8a8a9sBW4l+3UAgJNuB+KF1pNDRVWA5ww1xaG7Y
VjYb+MlBB+exDNs+FLJ8KQMy7ThMrXKN6VHCtVOqKFm7hkN/G26apD6mvSHPyLbtAKGmdWlkrTx1
qBqJQkq4aTJnH9tW1tPktMtLThRc7cmGC05ru8arBsZdFiNVwlGRsetdlyF/mGKDWC4yDPi56dxF
ciTz+MYyqv6MLbT10i5+mLfubhmagB5K3Wfw2rEj68uDWVRg1rTOmsnRJws3SJPuu6ReDmTeDj4Q
/dzvjXq9QbGVhDPSw2VSv6WKlVG6DsRRQsmOVnXbDmJXutTEF+JGrN/cdcrDoS2yYCvJD1z6u75Y
zRA7IeI0fTSi0q4cvxUtJ2Zl8foVcy+elBmMteOCC5DZo50g4qs02DltobvYd9d9VtZOOKHyu351
VQo9kpYxnWqehJKDhwxWc0qrEyQZk8K5In17asrhXGT2Taq59DZG9eiqFVLs2D64Fc4Wcy88kN14
K7UlA99EDfRYJYU858BK11fkaas/MT0NGVuNwchILMClkfi9UCzOWfm1Gqiql4WyFg3ipe2z1TcY
lzebjXqgbCOxEenE8lPxMmHbXiesoxu755EqxHcKnUqVQK9XIEyNB2JPMMNiomfIZYl0k5xcBc3V
SW/S/NnOGfIPmjMFto1gi6NaIAdV1mBYVBMZJIoZ4WCskgQ0dmwPQhfrbbu05qVTmPDVcQUT1ugC
OfQzkcDJITWkvafJwfwrlbDIu+dmsF6dZbvm+myTxGyZkVKThKKpW3qw2+pzE/kXCOjmISfsnmTL
eY/+y5UzovsfJgqigLA5EfCe2G8Sz5p5Szh9AmE3pyZIitXXATChf8I/7GibT3iviopFnDo9176s
uMu42IbLohRft9VcYOc4bZhn+XoUNUbEDQQ6y3veC1mdd4GdtOYx3ZjjYq9dMBzy/xVa/64MIx2P
TbgWs6qJ/L21O1A5mKTYu2Zk5QRfxkb+0tO93xCRV0WG83V3BZ7Jauh80VrKMziiiuRP5L6BXWbZ
YzUV+G6xzDFSRjbcsil4VncXN4rv4nGjHQyGYbsZxr6MWDTMIWM/K9oKWi9BOEpYL8g3Rl1R7zOr
30IVNleIKjaF+IjCh90LFZWdWydNJ66SEmw66nqCpHDSLwPxuoGip+0LKhqeIuFEXKy57VsJZkSo
yx0rM5J3BpGrL/i30NEqmsUnt9t2q7btu5JlEnPS+qlQjBVpjFTP2jjMwnMxdcPvhCgXWq0zo+2o
LF+WdREa8DoiflR5tekc+YfKFasFcsHCulXM4mvGje3ntVOepg6rmXQmJbA3nme7DRjjkdmyHlR/
LnEKdWwG59ZOCLlza3xS0QYgu7LA6uG6M3vxaMV5F86q0YQpcl5vm/dMdHMZ6YjcbwzjHzM2SLEm
70uEaZ6aZ9phzZQfYO3XqOxZIYz2NZv59wNxOLNFPiQglRp3mNL7dDZtsMbUUCnxQoRkZZ8djlUv
cbangVr9aE+YRcrC3utHOfqa6qxksDV60KNr89XE6m9W3Y5kpX+6HSoQB/EGKshBPMU60aeVjQN1
RQLJR42pdfdjGsqZ3NU1vhUE0RzUks0T26Aiykt9ClFMDd46Fi12zco5pgarkFL/Agn9midmfhrE
8urMA1N2VmqYwQzrJNWsfia2761Er4Wtzf5hwQOhmKfPnZPyWdfkxTbH/rZ19HPW0EqLpilvAIN5
SJvuyxQ7aWykjo826GeP6IImGsGL2GRzAGDL5kusediRbXfds74O5tI7zOlZLZT4Jgcj/YJq2X1e
TSSnRAhfNotqbAIoHY1OOQWLwyvW2/bcIai5J6f6mmtcQosSL14xU9Ci0yyjXgrhqZV4aim7ibfr
ssvaDaekRxvInldhWSZ1j3pXxYLdWR8Aq97nWMqjvdrfAYRMMAjKlK5inA9LvShRUsfCt6sJf1k5
3asJGY+dae4/+HzTdkPsj4I9dBU/NvnWhKQaRZjmAOjR+5+0VHmTLnnFHTtJg80UZ6GUJ2faes6a
rA/XOLYI/1uyc8qQAiYfp9zsKAwFeqfy2OywmN4MESX2TOQuZlHyhVrtkNj52zxlgu7aeV7H4TIU
Xe+1SvLTUAhYLesyjhSbxCKztbRIICoMNbNSz06r6mz/uMk3TtWoB4kSgALejPpraQ31+AITOqZz
Z7XawY5dMHkgVluQTDfz6wi4wN6H5NaQl17Hu69y7kgNhhvj2ale7B8y5kxiMI6d3qDy8u3W0uMX
Q861Qbe8rj0G0VAQZQ3SmD6/nbPCq/VYPBpmZVv9Bwnf9YYj15gGG/slSZrM5+u8zJQUxUvbb31/
89/y+t+aocOqRhHyfwtM7oryM22qv5bWv3/Rn6W1+RuqDrb/GDEZVot/YGlRH6MjsfAdAZkiX2cX
d/xpUrL3/7L72BBQMZH+Y3xuGMzid6IbxfvuV6Li/g/KanDKf52Pws6iQoeHvzOQNdRTu3bsHwbO
PXdovVhadzZHZQkMs+R+mkbmhKPzIFLMkieBEx2B45BuIix6Syov6Sjy7xxmOtKABUzJVvtV5Wbx
QcGU0z+zmy0vjFey/B53PAqPPrM/xAY2JeXcuYxzrgfQhHoGNVlWnRnO0C1iCKROyetr3nZK81HD
M7lhqtZuh2rlYzzD2U62VG+japp792PKVsM5omnBUj12q/U+zYt07ldd2IwPs5RiqRnN0LAm4skA
rzjZ5zQq6bvsycNFp98QatayV7euo1DTMYmUslJNH/lbli5eNWfY2G9RXoMyjGjbt/a2wQ7NjbUM
ve3bNeyXGDyqBTo6rNhvMlCuobogMWC56OqCPT4CiltHx1VF2nvJ80TPuVZy7vwYkyal/DTZjBbS
WFO/zTOM9y0s0kzMKEKZdTJ/rjl4Cr+S/UbWuyVro/ZqR1cqThkuC6AsENQBNCIyNje/sMj7bv0+
aXWyRKD+4PDIv2/xug6i8Edk0AJ9IlNfZtnmlBDXu8T9rV0RJq7OTBtV5BTY20mtnxkne/mQ1idS
GKdDIlqdGsWCuGAM6uZNWj0/aEA/Istt10/EI8xhS1lCQV/TIGsGJs5OVVzZexuHZjCrU9OM8lDU
E0aArm4sr5zK/WBffNxVTFOrugkMK03uhO7CC0jLJSAtoAgIgTMoTpIGZiXuo76aq7e4VhAkF3EJ
20WZ2rsyt16KpkoeGPMP93M62Q80BNNHWjkLJhBGz32bLg+8H5ponZrslQIYNoLerKy+WwVYhJQT
PB09DmYts29dt4hf03YxjktqKXfKEu8VTI+VabJ74xpbcXkguy7bKDFpnV6BKqIhjkvrpbO0+glV
TaF5VZzCiKcFNRYfCYy9+AC+t1NNaWt57jhUoaRmOs1o8g9zSRoD2b3Gxd0QDXgajtRn08VxAQCh
33N60WT91GaTdCjD3sTiJSSZhYXekODOKgdf3maf+lk85ww+h1yaoHGMxb5qmOESDy0rcI24l9Od
JH7loi1LczRNV+J3Wvlby3LoH9LSql/7YakPU2y3X2c9fdO6fvLH0nHO/KWrkMxK01+HlnA/cA4P
sTWk55qa5DnRjO1dGltVRe686N/yplcvylYTWth1Bpkj5eJGZt7+YFsSH7F0diHylY2/oJ0/uYUj
33EPlW9rsWVvxjxmu6TNKd46pXaRY/EJs5QRYD5I+tAlXyLKgK/MDeofkELlAZnMeleDDT3Py8Do
sV4LlGB8rXKnEcLtbYLMe4+ZR3Zfx/nC8Ldder9hMMy7GANkKhwgC9moDIGpdGvYzLL15xiJCs9l
RFQBbDpRVBriYT43KnGgSDH0V9NWjLtR6V+yrX/KW8X+vggkepSbk1oQLmDYwtfbjdYQ2MOlIr34
qo50/FY+xIGdJSfXHOybde47PhpyeNrQpQQAgJpvllQdr5235p5Sb/sKhQiPvKaUBAFXc4sEKTFf
ktQUvtXt2WR0GSvzUTe5YZwjP0ahoJAoE+TNlepvBT26ny/9WWZt8knNmP0oZ8ygw9RddRnPobDm
JUgniagjjbOjAdTdYesyr1filbC2FRZT3JH+iE+cmZIP2VHj9Q2gUg+7ffNQ5MPQ+e2ouWEpF+12
GjJ4MGWcqVSG1ZwvRz0dl8dmNgeH7nI2nqYxdr4Wc6Xg0MnAUfgOQrWQlcf6CEvIQXJUi08pYBG4
sLAsinKNcw5Fy3KfaHXc0tKkDJZn3BE2Tp7nVVOGWzvB0e4lEIECgi6ZRQ4Zi4nKmWBmoAC+Kpre
3GIxBgOOTQ7gyQLc36kfNbqSU4KXm3TrIfGTnHEl9ln3MHbmclVGPdtHN843s+nFz0Yxv2dtp181
JuSIV7pq9UqXEr1H05ZV6D4QITk3rlEUV7QZWOLy7Vuqsi3uVBLjzWV5adT+admNKI4GYJe+H3IN
vWyUsYk9qFiEHjqtb0LF0hHGmMM8HBMlvS2LKYnoCGJ6n157w+FLm58INeLz/i2n9QZjApEm7crm
ObE1TpC0bwGZ0Mr2fSzKGwyTiS/gENw0NeQXZV4As1qVNR5MVHoPvHOrAAzFfJ/h9f3eLXS2WHy0
krLHdF6BBJtnfkLWRgiiCPJmOERnJqr7KlZEVOpwFLR6xMiFxS9YBzW7KrgI8e3WzWGUiwxMDKsf
iIPSoHTgqUx28WUctK9Qwgq08vp2neYqAS01zOm96UB1qYcGQ0OV6mCKl+GnZkxFKLVVPuWomEJq
/z5sdqi76UArMXolfqKAHm4t1R4Ps8skZR1QvrEiMggZB9jCCgfesq/0qXKa5QUjc+qLev7aq2b5
pVtmGSWzU3yvHFsL8fLwd3WcL6lT/uix+JwMhetetYlt6wT/C0uA662ofo+s59WTmpdmMGWaHulj
pl0RmeXf3NwRnJ1AZUaB9cocCDPKxxIfGZbpqB2JFpYUJKFky3w0cKFF9kLlRX6GOAACmS5Z1WCf
LhcmQKOmKIEKlNhfoOiGhj3U30YxZz4/+zObPs2Xa2od58no/EzcbCZgytqsCk9tXT1qNPGtU9sH
Cf7Lg/mU+6hVDxzRCspa5V3LTOSAQNGIjNyoMEo0aIXa3Npt/2CrYKGH7rAxrqNHLODkpPUj6Mvi
jLc8iQCHO17H5NeDqaZ7KFXPw1YmUWyWN0alKI8uBItDaUn3iKUzAXIDI66o79c+S6OxUmEDNwpa
pHJ9cCepBUVWwCIbMV2OW1tDjmloG1PJ2mMyNg5h27hTIAd7nO328wiLhXxWNkvkUvzApaKEtMsg
oitMNXrWCi6yIuU+MCThX5r7LavWjtAK3n54z47WMtX4ZFD3uSPC0ElIjbVzK09L1bsIHxI632xz
ztW4PhCW9sWM7Zf/9lL/Ti/FwmHnsPzfvdTbj2H822vWwy7M/tJQ/fGVf+qR7N9IdLUs9gsQMA3T
4Jv+satwUBdRKJL8BgXkD7nSn5J9VEx7jKkNJRY9KuFtf2+q7N809D0qBntWGUyl3f+kqcIB8Nem
ygTBYBNUzeRY08wdFPvXpipZzbms8yQ9DZUtL41TU8rWersHZLPzx3hJJ4EHCSG2xmexSth7Z0uG
GlSbj0XaK6hRY2lH/ej2T4RfKZ7LHvI1c8bygLd3Xx9Ld1/6Ie+Q4NQLnxAbcRrize4jgKrx5gsF
mTkKIVEKDxOnFUzuWgSirZZjx5FeO4Uki3lNQL5VTvKC5pZB/CQYdLpW/u7O86s2lDHT+3iADDFO
jIXnco2ySVGD0czlA2HO2hlqCgQ7tBz77F4pp10l3z2KtcuufInWBr1qI1FulIcsbvMhSJd8PvZG
19xs81p7y2Cob4wqpgtGuPWZbbIRMfpI73V3wBDtbvtvzuRzCPXKyoKMaN2IlhiZa0r+7FOSCmbt
xtL6+cB/thFaXJA9vzRFIxjMjNONY66RM5VYbVFGBgmqnYTywByfija37+NGQ0sD+Rl6gtWbWtSQ
uQ2qw1G2wJUxDDJ7MkO9nUBM0NIG/MxFYAwjEvQGCYiOqN6LF+ONUM/2qNFz2uaqHzSZ3jHJnMZA
XzmmA5vVuW8KHP+QszbzSuU4kXZQI893rG304mo8kkXDRAmwWO6hv9ZCZdJZe+Q726sfasHfQ8gr
t+VxzNWPLKe9lPwuIUi717he1bM79y/0X9jpgBd8QdGxnuGsIUNfnTQQBYIE5vkBzrvkcTBpJIPJ
Zhzp5FV3C8WBYbVbVqmNDrmx7hI5WPeFwdZdQeT2EfcxPvCuyUORWMsVJ9ePUSeWiWp7s3BkZ8n9
NufDeXHhK+SW4ZPsu1xLq+AK06w4YJUWP2jG+J5Ac/AFYPhTimk0ubC2KqeHxU2a7pM11vBFnTv5
M8sn7cGqSKHIkw40P3aLAHWHvAqKTcsfJ+JY2TdV/Y3U1S/zgmsUNoMS6rP6w6yrL/Y8N2zIRN2x
djalVzLxviORQdvz2FfnAx2xfN4UqBU5YFNk8TEr+q2SskKvKkUexVZTl36JMfxLmmyNGlB6ZG04
KB27k2I3cGz8lUNhjwShs8lQHwCEsj1BUHttO+SQ/gKw7WFq9ftZaB/b4H6oPUEHZH+Hva0COnat
DMGFaaddf5gG3jEqQpc3qPnknbQ/VGrz1cvtsg17RI9HUU6Tc5eWNBC162R+nlr6MeHMeeQ7JPhU
hvQWv+UF2eJ8WrS6QqhgmeniywQa4s3gDltycOKlT5iUth9VprTysWdzz480RMhG4vtJEujcd0V7
s07GhFTAWiKpuofVNNJTgYa/e4D36VRHGWuV6ztAVy6FgSsf4CI4OG9RG4Fr04hD22jSU4pxJOxa
3BWWTfmitZbzhkJtFd64XWoVMHHCMOmAwztBAwWTVMQrBhZ1naN6N9ckS1m8IwzEb5R38wUJV2TW
aLGw2gGdcwbCqgCGigeGckXYWgXYjRmvAEA+dBboss55YWyk4sj2MCGC8ietSm7mScw8gXwfiqPk
OgkcszcL+IHXOQlSWV6Y/CRBVRI1hOG2ccJFMSoQqBegJ+96vFhB0w/6adnijWyuob2UQm1utF8p
PwIvfO8RPqirgdhd1SemMQ4nVd89wA00nh3BUslimxOkAvaHv7bbeogV8B4w9YriY8vpyJFYo2sz
NZh+/fQFJQsN6iQZRlFy9tGeYu0t23Rbbsn6U6bA5Zh22BGLZZPM6qyVB2KIvpnofnYpkgti10Ku
x3ZcnuJqLf2G3eA1K+UXLhZgOEzoj/XW4bst40bZvLGdZ9rqKhu/6TW3TWib9nBF18XoI9GeEnyl
dIiVeslUmzFT7eQHNPCVl279kcEAC0Mu2BBV2uprtcKmrK8pj1cmXLGLUMyaWRxatqNerJEJFze2
g9Jb1a8SNNNlqe0sXPTyMbY29C1DgiO+dVE8xX32U2arbLyVbZ5XtZy9szaVgWvo3alztWrz8qTo
AnUx7ntkpEqz6GTx8RG9SVs4Y5m60HuWQE3XjT26QAlwRjAfR7PsLktVdWz9luG7aPrFT4hjC3Ny
ca6jYSTeJs301G/uV9b91SkRNEcuqitZzF/BC8pQ1VaNSQ7XDf3cyQESdpRzaQRV7NxOQGpGZDO3
RsUS25GTeIA0W0U9/Wqy5o9SHZSHOc3vF57rOV4Ejmu1vE3saosWRqFcjRlNnmdNg8WqesA5AYsT
q8bEOqw3l/XFLFipzZLn+tjJLLHOmGRWeUMHljShzs3ZUwkv7MZG1ViT1DNZ1KsIl5xNDdPYbben
Cv+J8j4P+rIC5bGdLcgELF51Kmp78xhklSxn7ZHe79iK7EnYvZUH27RRygz0hrcTW13eVkIzPB0F
XeOpWl/9WBv0g54qUTZAGlDIHcn77c1o5fJWNepytgHtXCTaikNHdhUb58peyA9bi+mMonPm6C8h
PCE3G5EGqluoVZyYDvPHT3yBecCQPD9PKh4YT+h29ehsEjCvWg0Bc/cQrfgcrbqTfO/gVdJPzOJ+
WJ0ump1Oi4x+ZHlWgUrwis7gARVrsUSpmiSv5hq3gZ1XI+bEAqilWxnmMes3cwrUTUhvbqRGuJ5l
bPNuCTMuPf79NBz1vkUhoa/SdTxuLjUSww5EcNYUpNJgMzPdijI9r2Qb0QM5wyRPsJPkpUwL5aR0
HVM9Nd552Kphunca4gXwn+PWZRG2GzdsHHTIAYIAK4BOon6wTU61YMnV/MFJ++4xd3NGNMQcZeRW
EXsDfWGJerRkR1z4EHe6Al0IYJfe3n166/hWAu8LYgTX1wrmhwCovazvm5GxgB/EwRghgCF8GJmn
ODU6ua6ANDI0BuKOTJmBgKC5CY1FqW7NdWfOUwF1hF1ZunMyM1N9Y5KT+4QxYAhkHkOP3q5mPfF2
ga2cgUB95/DeQtS1SGxc7atJW80HW6gVszMZdwwWkEB7bs/qex4liApWlLo/gg1vd+tndQdMw9F8
q0hlOIr0hmFpy1SnGq+ztMXJQpgACgMf+sNQwoIOB1GXB7O2+hDFjXF25NBNJCma6/cldtihUnO/
6KtlX2IzrS0/Wyf7OqiUZkGcaIl7U6Fa8fXVfh8rY3hb4x1hmAgzKhWMRzq401Ovr1vvg6uxPozW
nGbArohnMpCx3CW6e1MiMfyho2H1Wa9qn5yn2TmbFSYNyNLfp6mA3YHM3GYJ2WWs5UeVjXwyIoZY
69F4lFpj7HM6GtfVLsLCzNyDu6C0Fss0XTZ7mm9XyNyPg42KFMn+4udIFzC/tenn2s0s7vWmMWFu
NKPltVrbh50+4fNpFqb5IESYNqGI0CfV/q7X+nJth2y7ddg3PrW7m9XnPM9/Ym0cnt1aLd8TDcBF
QK/tnoEFx+fMLtWz2sZdZPN+vahdYqGaHGdQJoBq9I1xr7IJBcmr2YZrbWvU/gwZhIilD64XskJR
VnUEmFIcQMgC+1KpxVu3nJ+bvjQiRe3Dse3yu4xMKi/Pq+k2B7p34ZCYAj6AfFjsadc2cvIZRZ/5
qdK1IdJELF9oRRq/mNbO20NXqRjM/NJm1CjseToKKPyEaWGJDddtOpPzJq2f09jM362KQZ7fAuW/
mXR9MaK5N5vov/3/v9P/kw9h/Uup4mPafP/xt9NQftbf/2JH+v0L/2z/td/gLugIFS1S1n7XI/7R
/tvabw4pkSg76PHZef/PNtXUMfnTjKOd+x8b0x8bVZNvZwqVA9JgY/KfNP7Gr9C8v4sUcc78yvYy
kSwhWFSNfcTwj9vUrk9kX7nwWhRGdaSxpg1rDmaDYUICQ5jp4n2upummVPDB57J9Jwx5X8ABr2pk
ybJvS4ugZWnGVKyq0daoryJWAfK2ZZdHjTk7wcaK9dRr8ORNgCxRvgIvcQb7ti0BvesLqa3L3H+6
RnVjzczilPkAeSoOxl5AjJv3M3+SjsdK9qdUZXaLVgblsd0iaKxJ1FAVh7tf6LOXqRuHtHpvaQNS
o37+RDlNLVqgxDCh//Uj4PydRl3RC+45hre2sRzmjOKwJY/BLYAtadMjpQ21RyYjUy9uMPre09Re
UIZQQuaKt6TZJ2khTdAAEBLMFstJ+wat+71bh4ghaOn3VWqQtbhfxo7lzSrk5YYxh1crMPFG472Y
yk8bujtRp/Oj2hc3+xMYK9IzkCX/zNta8QeEiZGxc+8N2Pu4CpClgBZ6Toz5cV99+3iUklNfut/m
uCDeIzWPSYKHH7X8aSMUzlfmgQejqjTx2VlPpc60ZXm2WFrMrfmeGsWZjuWz73LYveLWTg02F/DQ
Q5NfiKqP83O9N0v+VqsxRnhUoc6bxRmFHB6XMWXgrbOL0hselJ5SPKATgZimq2QeF4RuSGVqLiPY
+zBR9meZVp9Mw2GFUdB6I1Wdv79WS8hCCIbpHtD1/ajPBzqEy6+cAGVSL63dkA9RpD+Nkn8mtOym
KJYLXY04Og0SzTzjN2zM9XWLiS4oR6tEj2QoAbcT8pyMuiuFZH3tYbexynztTWIsUrE8cz8Gy1rP
ROj2GBj+H3tntty2sa3hJ0IK83DLWaJESxSt2L5BKVKMeZ668fTnayrZW2IcKznXO6myq2xTIIDu
1Wv4hwox55GBDlnFs1/N+9GMVL3aJoes8b4kQv/Nb6xPAWSXpYvmsTT7HclVu2vEeJoRX8OvGyxn
a+0i0DMLTfcpq3t4AgNCo24lSQom3ielr3UdeKwEMfeMlM0CCb9Ofywj4zlgiLgoRAtcAV4/s5pT
0w4nW+TfCx2JNwjfCDwU4mSFqBRlCZJszILhGbtavDSMhImPeu5G6TIJtr9UTZluUPo41I7t0bXm
c9wnEABgXJPlfkHKUtJNZjlqhjjQhai/paEWYF8TS7wGUWK3lCZ7LnAH4Lx3ljLox12jhNxRFBtp
Drr+lRg1GASxzNccu2Q4Wi2RC8vH6yJuuqWp5dYz5+83ObbujeFnOA2gOJUAySVLqtNVUDTWCuXU
6Sn0KpgVzP9zd5tiIf+YleFjIZjcr2a7CzBMYKIl4vBgl9k3JqcjRlw5YE5XLskAV3UvyQ5sQYLZ
0noFKkjL4NqvehzIPNpEWnxXIhO7hij8WGnMlDrgY+txcJ5EKdvnsjQHdqVyWqRz53uSTtYcuJuC
pjyNsCq8owMF5aNk+c+p+VxBaEQnCo/GeNSXrjDJzz0a9HyLcDHMLEO0lsE1m7b/CaYk1a3JopOZ
98XT3MNgNtNVOLbftandI7r9kZQuUfp9FA+gJ/quzdYHYXPZvkVFyB7SKWNUrvyMLCQMoQuJQ+I0
tzMWJYs3Le5/wi5FeSbgQLOgfNrIF104YAX2NJSu9ErmfUi1Q8RBcdCKkVQgoP/8SgrLc3FflEEM
skwdj0bUbvj7N1ifyfOEleLHuDP77ClQ7C4VjlNkBZZWt+gY5U1Sf811/jmhVRF9fU5++n6B+v39
NSOrDGK/Q9ZPkrEDaRtPlWBjaxRYk7K+UPeb5wBGO6Lbz2/XAqf11/sN0IqhD++QZF5gm1AZmeZU
+uWugzW5ShkK38nQjVW42KdVmu3wZnmeOjFusgkdm5Ru3KpFwwQVQAQpoRJH5bwfItiEIAt3gfJQ
SgfEavxpP7mEbzBa9RKYAr2f9JYyY1M441EU0aPuxMXKFfZh8JHiERV+Hg6KeF8jJodL2yc8/PxO
/zJv4CHb2E9D3jDQfT5Lo795sWaeBEVl2hAZzG5jV/oddlV3xQx64IPr/OiJ2ga8XQ8OBkvp4okG
k+EL/pK1GuT2VYdzjWSMuNZzgnDpBhTofobRAOZY+SjvvF4v7gGJojYxR9+bkbisUpWUwnthmGIf
aciJBNNw0gL3YLXjNvYJ906NBVgUoTXQCFN8iRxTbovIrNcikQgh6G13LDPxKJRNEPJ19jX8jAI4
aV/t7TL5HiZA7ssMa4dW+NVWaOn3sJof/WjYzD0NDiyVdrF0dnFcJvR8Zux1arEHbJwvzWG+8yS+
D6bJz4a/9q2leb70jA/V+NWqv9yJ8JHhWSNADavmYifODCMbW7MwX56QISadEEQ2kFbuQpus3c9f
Ghn2X67l6JxTgEDxR1Scn7e7nhKVOg0BxZ2TjUcaotdF9VHAPO+ki/vB6R6tB/VrgErV+2tAakX2
VNfLXRWM9aZLBCOPcEbtzXwGlSu3PXLnmWnvAs08TGEQr70yvwZe9Sul828+IL2FCasFGG9q7caU
QzwOiE61LG4NI/qO0Qw6FWGS7dBipOMHoHgx6HN3kyfuGk7OZ58WARACP7pClBdOn0PegkcApOOg
qTdmi7+GFTTmdhA1YHUz+e6AFVo0SXY7igwmeCSx70lJUOnyCAeGOC4RNI71/liVJpKP1vyB3bn9
gx3Lu8CxUicOI5Bgvn9gDAOhbcqi3Bk5hcKIaN0y6WkEmVrGPcc8gYR0C1KLfygcFxnMrkUgyCg+
9SlrOcwQTEZ/aTOFdKR616hWQ6x/mbDsWvlIUyplnINq9C4xKDnEgZkCMCIS1RXGZl4qHxF6ep47
fYFm/IOwyA6DhhtuNbHNYv1RkojRbo/rrZVPW0ilx8hxh0UKgg2cNIGvc7EoDzRmM0WIJZeJr1CA
jvgr5Phvj44fbBLODPWfYQElOKvwvYlqU9TA5prGcjf55YoURyyY7mzR/hsQpI4+eCMIHPx1nyg1
CsIaylm05C/2ZGNb0kJ/qNy1ZleuDRdilh+m1yEnFY3mBFkoluSMWvhipIlCO4IMMMpvmXTNsMGY
lVYl1P4Ejsc6cGfgCApEVkr/ty6D+80QJw+gr8QB2b4oK2tl1d1zkc5Hkcs9hkQcxiyzyMqe0FIm
S8XKKp3122aA2iwqTNKSfj32qb/peaXn8nK2hUXTln9Iy+waqByfqKdxU4dDv8jnPsaVSNydi6Cw
xIVw6jOUXobplPQUkn6GP9/cUOo583Rqe0STpI1UkTWezMy4a7Tk2rLI1gxvWCVlJoE8Qnkp+JNw
VAuyHsaNYWN3pLZRJ5xD5U0nN1IFhIM9ne/SdM8bsiU9TG8FkKsVwJJu3WrOlyZ12GJ92NwgyP1M
Y3A1DTxg4Ou3iQWlKBCk4nZuf0nj8ThZtru0Kmc3lsU1tPLrsxtiG7GB+z6/pijeFiEnSxKpsSq7
w53629xwvsUdDp+Z4QBMG1cI2sqlKoxAXSbbCTr0nvn9Ie/tLybksA/OY/cH25tcxwHI6wDhti7d
ZyCJpI1pO/ite/KZKeGx0zn3RsqsEHemlcq/zqV21Qd4NwZkeuc9X8b9Rk7dtGhSPtYU1gqqeroO
GF34Y2t5yN9GzRJFlnIdiEHucuXANCY4EWBulKzhIUfPjZYHt3ULL36OOBeBuOBbRCxfzp51MDVi
DJOCx9Ei3dJbq14CjxyWIuozgE9k1hGFIedhbMFeYgQ7ofMwnPqRCApD8NgyDIG7lN+Ow3C0nSHZ
Vrkr1kmLfkUzzfsink5piL19YTBUcir57HZINLd1f/SoDuBAuoeRQ4QiczhZrrhT2Xzv/Xm+/o8M
/AEZWDk9kZP9PcLmoRp+SAb+44N/MhbcX2hgGVgRBZaDdIrK896SgamMLBQu8amGnPDfHhuMX9sC
fIP9CNmh6r792WIzf8HPmmLKtfAt0A0+9C9IC6alQvGbdAPdTXA/um6Q7lKRk9q/Pz0DevR9GDba
Hven8R7xFzxS7RYRwHzGy6weOsY2o3m0cnfcImLFGGmUASLroCGirJpOMnOLvdWZOM41vc+q1Edn
AWu2xMbTQAwCpbZ11kfHiFzRpgexCLE7Xdp2+TgN2d1k2j08qghQoXLuMtxUcD6r2FkoIQA7Qzai
sXPzoS8bio3a9KiwI4Ym09idSitAINnr7ZWEi/Cia6j0+9ZnypHvVg1HwAuHexnI/pgirrFtJscu
F1Y6FMcknYdrWKgoZXgwNBaiKbIt6LgES90SYMbkeldFJIp1ms6Ya7RMbvtusJYoLM7uKuJxHlpX
M7EuZ9q1GoVAUAizXCpNMCNyN+utvtZrOwTu3Dg3euvv8tw81jq6PBZR6hZlyX0ZioLTiGk18BoT
vgKCFE3jh5ter4slC6Za+yWTtQbpuAUSB0uw1oxHmN7v597ONp6jedcFJ+cyxDp4MdhevRFmJCBQ
lagRgVMV0TrL54cGAMdqkvEjtjnmZ9qW7pWwQaOURmViHtsEoCKtKjzUrTT1dV6h6BAslTyKvh/L
0JofyhYo7rBOkNzXnrNcGCRFVT5oM4CpLm1Vt7Obl3A0bcZaCKf1Czgt8thYpX8IokDXIJcB4Aci
NTYcMGbX7oj3YusVJTYliWEjDV2U/VGjxulRSNSYRiz8ubNGWk+Jc8NARl+mhkiytZbNdBH6McA9
A4B+dtAkKq0aZ6kQ8NirV7ZW9Qd5K3vlcvGDFLOrfuV5YT/Zu7C+FAMM43bFBgu6KlHksLav2nS6
D/usQPW/8j3sQLx5HKdNEMbMYXGHrNsePKZk0vUZ891Of9BG6cIvQ+IyB89hRlCy0ainfhD40GRu
5ejidkpKWTcbaHslGhYg036tILLfM1MitZEpzqgbhukpMxYtEkCzHKju2tDRlmOMpj3GmYPkhjl7
AKV7ZirYCyDgBYSleXHmqAGfAU/mWAKTRY7Vc5oaDi92taGDY+5BS6VpLNGk1T/N4+SODNwwbFwO
TUyHyMAn5lqmRrwDqKOhnO1ZeF4DSnlowxjaK4hd8WuW5AFY/Ma1vjWxjVx/VESfmlg2n9wm8df9
WHPwxVBZUIit9dtZ75RYRqOvBcJ5u0SW9Z3bteUj3FfUb7FERN8cIGuH8UVgtKg7peFV7LvhlV97
GhlUB66JuZ1wVoaGDxKz8NLjlcMoVtVKLxfGWUBF7/rjMHrlXePX0dbDPyg2RudTkI7RKcw5dusc
/RQ4kNH89Rzl/3cgfnQgotb2Uwm8X2VVJGX0dtrEWEl95o+z8Kx+gRCbhwyzyZGjZjp/noWG8YsO
/ObNgfcn1tT5BaSpCcrUxgMBjh0H6J9nof4LFQ2Fv+4zP8Ktzvw3Z+FFca/7OpMr5k34XtoQd86e
mG9qJMhlRoLDwHQYipeoy1dx/tub9ODu9VB9q6mujtK3R+3lBS76d62w8qIWXMBPXShnBO3gKRkP
SbCMi5efX+pc9L67FvRDNYRDqj6ALHfZn5RoGucOLP/b1MmlDpen0MgNXAmO1USB7FuXish/jqvQ
7/WtXiOzgDU3xX5SXusW0+fipXqNgBHYHQrvLfoY+pYG4PB7gohhUtwM7VmNWXcRbchfVZpxy5J7
F03S8CSbfpMqVecOlMpdSlcvIdSFTYldsVKC9i0lCm2OLiMheHJW0K+cvMAs66EJzGhsGcWUICtX
fAmgJIkrzW5RDuZ1i23xZ6w/AX6EzUA2gCvuBJExgRa49zh4Vo5wGbwbmTN9Q+XKXRBUi2TBGdtC
PnBs65OteXhJp30Qaw+TDtm4XFtjFAaEzz5LexFuPbTLuu3/osY/GVRTUpos9L9Poz/3T/G7kPH6
gf+EDGRxHPQogdqcAers2v+EDNTmXbrvDnEl8HWb/fZnzGBETXgxzmPrP4KFpUjA6M+rHBeq77+c
T5/bcO82GBHCosWheMWg3K2LzczugAkpfXmLjZ6GSK8/1VJuCncKHsG0WVeZgJ23HKOo3uPC0b0Y
Eq9QkVCnyabECBNGGtVhRVNhGNCOTwxxjKV07pCu6XTchXORhD4TE9KMEQuywkVbkRRJirJZDsHI
6P5zjIQXkC60GxgsRdNIhqznofYpKOwRE2cMdjtSEqhJPvkwurrDbqLBL8aryBuMJLwKYcukzP/8
ZnwAma3bD1pZeSYT0Ni011E6IT7Bs2TL+FmIWASXjZmKKQe+woxUnTyTXLeFXTAOz5NDWBTxtvHM
2VpOpRueysKMT3NfWTtuiuEd8/bfgJcmJz+1W+huRZzei8o59AL+Hu460YZ4NDwFBpyWtivwBU8U
EsXF22UZVGx0MJ5i9vC7TyN0CEhQ5gyqJLNMfWz2pjcXpaFEO8QhjrJRu0KYY0IFnAAgHzQAr7OO
bWSWKmpNDeRtC6ovHiC46FXfIKEXhYbyDsxGsF5HKDxJe1sjKQS+f4G/Fk3Vq/9FhH8UEZTm1M8i
wq9PiOiWEYyHd3Hh9WN/xgX8JOhl4gnxR2HN5v8zLpj2L56FvNV5j/8nJCh5LQ52oCSOeyGj6/zC
EUljlPPSo8z9dy4T7/tV1OagZV4JMwZZDjCZ9wX1jOswnj6De1+MeTEvy0QM9zDlQY2Jqem+vXkw
P0gp1A/7bxQ6X4yWrpo/BtB0zMved+QIO/fi3r6PNVl/LW0cqSTl0SMdTgWdMHUGZbhxPAVj2u7+
H5cm7SI2q2aEal68nYUkWmaIvjLs+zkQXDqA2o125+SJtTe4Bop4wsDaVG/hpgIzQbP155dXP/79
ncOuN5n5YLPJi7u8PLKXUUnRZd3nUEaTpa+NfbPU+2GuUYlRlxOF79/8/Jrm+762etxclKVic7a4
Bq4k7++5rDG/juAD3jskMfQffOsKOs0MaA9ZiMe6d/wbbJe4+GAMbbeN+6F/cUECbnO4qNaycRHR
x8MGPm8HtzNcz/NsP6HsC/k3dEbd2I8Kmb9KYPTR/agxalyJvLSsVxHvv50GvE9EX2/DpRRUahjI
ZtgX7Xl/8pHfQj3l3hg01srA/JGMCgSvj+bWCWBLtReZ032Qk77XY/7jqgxqFDadC1+6F7ma7qXC
aY371BiNU6nNCYdFGX/XU6T/pTGLI3qYxoEiIYaRj0Hbawb2t3f9142J+JuPrDFFBOvmcq+MQVBi
7iDgxKB0fUzUhkE7GD702BiHny+UiwHI+V4RKGFn+Xg1MeC9CAKh9PpS1wfjHpipOGp1jKAq5FYo
2KFldS9YtNlPI6kzu1PH8rH2JjaLluLAhv6W9sHr/tGNW+AhmMZ4UCYuV61JQh40gKPvB5ozDXSZ
MK9uzL7QxwXTiOD/sUk8wh77kv9RalF11ps6yqhTPdGs0cT4tfdXpYxzGG+o5O4HLOL2BUz+Kzoy
1R5xP1Z5gM3ZAaEjEWFXY9AAMFA02mvuKI64SKoeFpqIN302BmujJ3uKY7pI/NSUXeYAOpuucYca
8s0HL/AH4cVDuMymInQsUqCLLZLmUTj4MjDuwzDVm83stS0KCqwb0Rf117YFv5CT8n1l+BncFD5Q
LYiuTOfx92x2DFvBNyeZjUjpPM15uzJCvXvxW10cf/49f/Q1LfrLwF34sn8p8zRhDiO8cuPeYQ6O
3Jh6zGCT668GuuDQc9qPVrZ5uZiQtWRV08ymb6z7lN7v327RR2aKeG53P9VWtXf6wnkKA6F+sYCx
nwUGWsvt3EWYhCHONWMalwuUEIKHZMgSjPZK2b9YiC7dpToRQNfYBIllEzjVmjg/oo5TAxOJhGlL
Rw24l4aF9gCF2hUy3sZhhsTywcTyFb/y9jgB7KHzntHRt02GJpdT9xkLNYw/ZHSPuJhEzRks+irF
FPJTA96xx04jBpGeemMKF9HRchDuI+IkmyCOknTBuN7Sl1LARTMxj13rRe9tRmSi+13sdnCiSyOS
1kILnXBe6RYyEws9nrTPtVZE/Ur3qgq71kjGztIOvJiOu6mzM9JuQpm4iLGNyVKlfODX5T1yJ/He
74r0BiZ+dRjT0GtWPkT0YQFcDSY64PZPRiXzZz3rjFVOHgAYEtGUmu83xi+SQZJ73cu4XCU95/e1
HjgAThorre9wskDBXMQoRihLVxhYXuw36Ax4Wv04lHk6razQ8x7wU0RbGG39zGWSNWK5WDhRi2uh
G0gK9970f2Ny1iIoWHR9tpsBF5qLZhhsun0N/d2rEKH5GzMaUGmpxxC2ShA8yGk0hqWHoE57D3DD
sOn29aWDBKaZxcsijur6DvetvF2KwI7DlZ9SacFA5NjNWCN4pytKQSWDdcPkLIJ9BEvQo4HIt6sc
56kLbNIESDvGgRSQQDzW7OYukXxMel0eoyIHJBJ8VW4vBPRYT5nwZAMnsxEbfr2cy0H3cFjGalIi
Plo1N5qAUIz8aVXEACwSAXUjSmLYPEH/7Jc0fxcRbscIUqQtLKsiOqA53G5a8INUj/XXSdfnL0bn
g4Qd0dgBbm3+JvuqWjpJ021Rmgo3lFLVtyLonC+VheBn49bxCwtF/B4NYdovZlwaV/rA61nGYV9u
kSxyGBd645KFVegwrxhWCx/vdg0aStW/2A3iyIiSR/VJcxBypsPvdxkc5pKB+snDTEcPWAAgfL1V
gYCparZLwDcIqTHDCk1+N8zJZOQMfwJHcGSYNOliwpwZQf1Fi0eaxAV2jGW7ko0sEEfWVfKD2M6x
yjKeNHy2CtCyTzJEBLef8HbyrDWqbrVcFEhnfhZaxxuTYc+hICVW96MXEFeCiliRSFYljTODw9Sm
a05VaHj116DteLOuMfNSMRDSljoTFwQIJ5ZXGXW8+mwkZCd2dD/AzcKUSrr2U+hMyCRCwRNr1HmI
RsUE/jKcg8fJNLuXbo6VEaFL4LGJQ55dUKS34EgXDTvUh95n8eNl4/DlqDgqgMFR+DhAVlxlsqj2
WZmZpwbwGv+oyoObvh+Jz4SzkKE+Ns941hs9fxLNgnsasQY/MFbiD2Yvq7KND+n8qTU5qRfoXfAv
2thID0PZEGLQQfVvIszDbgKvEkfojBzqiUZEPcdIcjisTB0OUS9t2l1Y+R10O/UoA4jZp45B1kDC
wbeFqguAwgKpeleRdiIT7yTyrjnnIlnu2mj6Y9wAhHvE+XzmjYw2maE0J+M0GnOwNk3GPENCuWHl
Kf48ocnx3KNdv5Iqe6Rl5zwZqHojpcv+TRcZyvUvScViAIzQvYytUouM0P240rPReTor2NB06V7q
nNMWimDzFfEVsl+RdPJ4ThRmBMKRnk9z98kU5PfKE+grpmQgmE0/fbGt3ONZeJZ1VTWafkBpQ1u6
VagfMOvMqhuWEe/OVN8WiD4HT1fBuQz5Rnqqk4RXFVQxx8jqr+Gg8OoyM7V2HaIy/MTwHZmZsQKG
fNV0Ld985DPjAh8l3O8arS3pgqgEZ1CpijLaenktfrD+46HBLytW9FfxZrC1rEkXyBQONi7K0r+J
C8d+Qr8Tu3KOHb5gbYp0XvhaOaXrujDC34AMc/HyvIUMxMzFZqRnQhrEydOv2unet6fuJQ863lGN
+g86kt1LEBkcwKWNme2qUqVKRu9la0iDxICu1pXLmz5gEOZdcTvV3ho19whBFDIkyod823HA0G+a
OHF7tTwhgBkHHbsA5loA7tGSHElXbT+FMVRPCOzsihjINmifklULaN631orjccOkjQXMzJJn1ht+
8CjGxDulGVpw6x7dui1zcNZIHufOE2JHPFPmqdz/OQgAPhRHutI8FXyigxtXOhZsVXZY7arLF1Pv
L6FMko71Rv01NVBwhwff7kj3G/QZLN5qYmJzlnOQ8xwm3lBQJuGjhqTunZCR+9T6wB0zcJfF2kxm
rLojhx3fth3f5LwSsTc2uv2UEAIcgxx9DVuT4GNHTdTdBSI0pyu/Ui8obQCEb8wqbHZFa6Ay0c/Y
PvaUox3AeCTuFqYPAx7Zpah4oCvvPFlKStjUfGoA3LM5moRvnCakeNAoM6UxLojzqAHIJMAZPWKo
vWyMSdyd75CTiBy5U+zBtgKJcy5450mrv86oE54QsTNPCaFbX0yUtKcBouapUhMYXMKRgZr9ifd0
zhjPxyaCPayoOocTY/kx9z5jZnBTmlgPpINZrNphoJJRT61llBqs0snI51Wrvk7schcQHO2neujZ
r2UcBTd5VrKtZometGfNeBR3uYESDfZVL8Cc2Fzg0YmOcdc62Aiw5AG902Y8xkmIM/g0es1OJswE
1g4gGecoWrT1luVk01XVWt15grrLquFfB4+l0ClbsVS8yrClrtYYDE35dTG6fDofYrN5YMCEAVse
ZjxomBnGIUnPsU+YSI9XkUGQJxWJVElu99QrccGaOD+A11ikCvcxNYkLKrAiy8SJc167IV6UGFf3
UBWFl8jfWo6h+/P6tFEf2KY0ArZj2djZrTf4LBFfh6VhAx+9jiPZ+n8sCAT5/O81Wr0jir5ju9PS
Eu6HrJ2nyKWXcl4VrsjYFPiXGgdmI2zkpjQOTER5CPBsMT1HKMoA9e+URCIYLdrSa0yaEGAfkxlB
H25ImwpWH2hI2ECIP3VbSSLUotdnGgfD5hZYcsbJid0KATCc6PylFzacMB5jpk1Vs2iGtCLaW4nx
CQ3M+Z5KnUWtows2LPuJoH2OgMA8UMKqQo+HjZaJOr77lKdkeRPbRh1AqJFHlpyYyfcEhSpCxmOD
hndAuBrUt00HgExrq5FcN6qlOBaYBEO7pFRjjixJ/JyI+x7kCF1+AkOirWgpC2SgyYXmh9HwE7Hr
sfDBA7NL9eqqJIweWgjZEUVjzxWipGK160Y4t6feGUhCIi0LHvWpxuYQ1ULuFwb0nT2Y3sPgi+KT
aTnIwoe4+AVph5REo8MDJrJPWZR+j6wOb1hFq7AQccrwNLLYwILjMU1qTiSZTPOyp+UZkKFI9xHD
ap5zUvNCK2eaBWqfqbXRSx/1hqipwOyOosD1uk5vLbszjCWnZnFFZS92pVGXwHLrurwNK1wiApGT
L7gm+HEmFqwwtBV6NBdE1+vXMGXgTKch2OxlEMfkVIMNb8dEq/dKq0y6MDS8hmWTh5P2EKXYY0ET
q/kVPQAekuXM4o4OILQ4a0LIHqIZopwjOU6hUrom9sURrXMyPNFoYAoYaZwL5Swnyk5WwFYN8GfG
H6Tl6yGpQ7PJxM1+xSyDbyrOh0kYE7fp/lfZ7xU5JqdLUAfrVJ3hhpaGjyHIUaWyroKdDukFikOK
t07bE9MqXAxCxPxEiyZ3FdwkQWRfTXVgHCLhBI+G1mOvOUt/5VqZfUUNxnstXZPzs0053IYiIlrN
bmKeRq68PMfNAFPNu5kxtAWzmEmNmat8sw4D/6ZoGXyuQmYlJ+RS6q+AYSCx98S9tmEL9TmLJwm1
7Fqr0PSMVGSeZ2Q8l9R28c500A20R1fv9k49sON6DdEvJ2uCG+01w2jIHjRO5iIrffvK82bdu6Jg
w+EQ7CN6HcPQbiuQSJscf2WfWqV3nnSsdE8YhdGyc7CoX9Ln4ZF4qcaxEYYmlUThcrC44FROYHrc
1dx41lXtCPbDHKlwcE6ZYY5/dyMgTXTJCn2DuRfyza7szQ1Xjk9xO4jPEJzmmxhY+OcarXsEBDyI
mA7VzrzhQERq33MLHa05u9buWpyNgXLNQemvrRYPJTNytOehtpwXFDrm33Oyyu8MuTrS7Qn1EvIq
NDXrTr8xSMq2Oc2VL9A03HY1hGGO+jUEsmbdVKK5diyBGoWHBEiUusmvKFlEDzg/oYI6FJgyZZ2j
BtWOPARWHX6ONS97rpC1bVdOqScdmXIZRHdzqVGx5nAdUYzu9TZdtMHo/g8p8vs/mvBg407X7+9n
vr8m3XOFLdn7Ac/rp/4Y8PjuL+c2MUPf/zil/DHgCcxfWNAuLXXkymjWvMVNMuTFIQXAJX9jep7F
1/gTLAJwEoFm+hmujXYasMp/Axa5bLwFgUMvlYESPhNn+vT7NhiDiTgbOClfk822MMSdYxAtZokC
67JvKX3ePKAfTHp+dEEwosx5VN/NNS66qhl3XZt14ezxUMWWYZyS7ay61y5WSLsIWYwPWtiXfT51
g+BteF6MV3zQ/O9vMEhd9JYYl+29KnafUlVanJPVzhk/asxfDrG4FK+akQADCV1RON5fqo2nOBoy
w95nqgZPPEZVTj8Tmly8Ag89sqyPXpYSr1Sh9vOn+oO7fMXmgi9gjHZJT5waZA10rbX3nUlbuvRr
1YZ3Sg440ufigz78X6YC3CgrEJyt40JO9C+bjAKrFjRaEhvhXYZ5lIBkJIsp1UmGx97jtMDuuY6v
ATNS7siWIpkYiGEwQ6CEtgZqQh/06v96+wj1+S4GZIbnerZ5MaYA+UedG4X23p9Q/FrCgFUd2Yxf
/n/XApMBKIklzMK5WFCIiOo5CAcbsPBEP8HWuheEv8RxUGn1z9+qWjBvm7lBADCaprjjeEAtYfG9
X1CQkdXxM9j7MYy/dyZASgqYfztVOV+EAe/5d6LUxaqlsW17vZnb+zmjcZ36I8XMmalhkHt/NO00
1NO5vCWAc4YJ3IRHeDlQwhTFGGfNsPaAqkiuzwMUI9TIvvO2q7/6TUZF5Eo2qRo4SRxXriBxWK+Q
hb8dof1gBbs6HAyA4mxVlWS8f7IhzCLMIzJ7LwBUXVtZiaxgo1KjWutYoRQ+xTrLTHJ1OUMBQ4KU
zeuoCSgR5KMJ9I9Wr20jEBGoN80M/P2XyfCXEkWG/U83Ujee89SpZDZAJROsf76ifnQpF94tEzSO
lr/M2RFxpsT2GmufODzeIFBETMSkCfU+5KYPphHvQz3hW6lu6B7CFyaX+8vyreO+ypum1q5DegQw
4rEF+FpaNLrmiUblWEqiw89vTxEb3iwvdUkP32FcZJEB4QVfTtPrbMYhASGQaz2kk2D7JYl+h5D5
ETM6ZqUd0B7EhqgGUGOiqxCxpQqmB3vcc0jn/cRtdrNKls8R5LXVI2e6KYsw1mYG2qot8/Ov7JwR
Vv/dEugEuPgVqyE2kA5ETS/J3uB8UlsUln2NyVKxwcFp3lSJi3eK0WXDotILyUyRYqGtwmWV1tJd
G/yw+5bmCjrsaU7liXI0LzJ0ov5lxlbgRZi4Mixeq1qTGUa8IjOkC+MYlHkLdIzoWKuiB2J+u9NT
PtaqTpqH83yLZLxpXU0mFqC9mlr5kW1dtykPEK59Ku+iJKeXCGwleIRIpKXQ18LG2BmYCqCk6cW4
3xRB7GZLwIehhQp3YrnbvGy4hmpQIRRPb7bxdezNRhuuBI0k49DFGMAsapsSip59P281Um73+jyb
6/qooA/fGmV8jXRW/8IUqfmKPolZXxdGIo8G8pJ3mtlr9HogeCffDLwWZ9x9ME7BSJX+0CNa2Ky9
PnOfsgSzFYQ0TedJGgENcoCYnNAjjduCNulzPYfmbmy85ti6fbF1JspeFNrhBBB/oYRMgcMJc+4+
aqiW7ulpMPPDjXJpCZsnyrjwUaJGvD0PyM+j43OF2s8mzyeYQu/YddH8aI60lutAtQPOYDtDtN1L
BqkZ/WTIFeu5Cw3U0GUbPA615F9pobSugrDkpxSq7J57npuNbBxwEXXKlZzU+Fe4sJxlEbfpLsKb
iZab56lCNXZRdi4Q6PSuY5WYnGf05+a7nppUv0zTxDrXNdqG5wZpkzSsmgwU4pPnZjxNhEhrtNkq
X+LIoIeee30uJTX6W922s0dGxKZQABDL8ZTSOBL6L24Vs/8qPZLRuph94xBrDL5W0sFJBLqHT+fC
kzbnTZ9RHC2M0mIt4xIbPHZ6yI/1e1RbUF0Ud7Wh3JJ7IPViI4EDmwtmatT3tRXNtzNmPdHSSBjh
jlXjPLlM04DslG2AiL402gfMs83dPE+RtzIj1/5WjmN58udE3uYNyoFNJ/DepSdg+Ohi6e11kleA
C3M1SuhyIUABztWw0rvQpTs3JyituMzFFh70kAMgYn1f2DHaFUUW4HjmdDT6GXssZTnLUwYdcD1g
rlpfZzoy68rMJ15ALijvaRkhwp2GQ0HDoO2/+/ZcXYHnGw7oF2B4L0UKWnHIiEzLWXV1kdBqeQgA
Pr64edZ2m86R7jNIQmPVwYC4YdTZRhsF5ICJO9TJCi4GDg7VUB2gExhossxd/C1SEziv6pH2ROlr
yxwi3Buy95qt303uV5j2EA7Lev4GFLO6xlwIYVcx2fO3Mm8yhLrMedmht9jChHUQDMmm8luKdG6/
YrbcrTK99bYqGUVeTjDzXCmIwbohB1yMJC+bwjeRsomh2JeY+x4HWn5XwFnqq7SNu410Bvk7VtbT
OtYSDdJTVXxJstHGYgtLsbqE5JI2HebbWfsEX4r9QaN7FZpFvBzG1tgUaIylWMTSf2ZgCWMtxO83
ay0UTFyP+VO/pEvhWc6iBdwTgcrumPLckOn6O4x68EMpE1jMdgivHNFfPLPtAcVmv6o72vId9Mnq
/7g7s+a0lSYM/xVX7uVCG5Iuzqn6wAtxgu0sznJuKBlkNCAkoZGQ4NefZ1gShJeTRFQl9ekOg1uj
Vk/PTC/vuwRXdpYUd+m0PU+7i1heFAoPIA5bw8iRyRcvEkZHeHp1ITUI4IqIcXiDfPaOVQl0nhXu
/W3bmkOKO27xRh2qEN4Sf4hvKflKbymvw6g1Oghyf5020IwJU0Kq1M55kubG5A3gMmywDbMiho63
zUfjrIVDSlYe5AfAHkE6kZPJypyCmhO3AJHuXPHXEFCFkoYcMqm4FfSC8OkMdBJm64iXs4yyXg4u
LLGYwobcHCoJsKSzSEnTq1ReburwqJRgY6aKfbWKc5SUpLXO2qA6f1ykFlO/CO15z6os6sLWyac0
xWy7ALKRN5kSq/tqwD3Jfi6E/0Y3EyNhzocynf0DiKGbPizThaVSizmIbE4uz+OJVQbUpMxhK5hq
9mfy+d5riMZlLwJrLuzE1VgA56tPwnu5yP0JYdVz2xJj6C6WuI8vEaC+2gexgkul5xohGJxEy7rt
iAassCwhtNfaqwtaAdI7KhlmTge60fIOwOvZe1IUDxDff6kMS7+Z5qAS4VfB1zK8DBLDIjVG4zwc
j1ZClB/GhcObY8ZD/UBc1iMV4ZQ0hIdCdcJF0rlq24SCoNeLaIiTbfx4d1oA0dfLvar1xpony/5c
guzXXlVC62SzaQG4NG8BbH7gIj5pMQ1f55WeR32Yyq2bFfU5N3QfFe9nwp13Yd8A43WhReegRJr3
YDfBr00vAxG5gSHaHemaoguAeNgpi1XpdWbzCHfhDWB/nLnWFeUK94NUKz+U+XhKHV3R6mfgjP4z
LdtTuDOjEFjiCXyZHWLY42uPoFk/A4j3SvNKUKLCxVj6hihTutUpU4iFXbyh2VOj7gJSm+xSx+Vd
QMtWQECnGwb0FiDnA7BJLeDH9jRNaeCmMS8VIXwoy2L1LocoA57Ucfm1iPI5gKpSWuKqElVld92E
Ghu4rmFmuG5XBLgvvbCQPU652tuJs0ruKHSGcVKDyxHoCM1pTYmLuuV1yQr/oC/msl+k6eKyYiF8
E0/kLDpLvXBA1F7neBHi3C6BbdEFKWUFETZeOIt3Y2MB5GU8GcBwAUl29nVa5WCILCP7bSUM3KjZ
Ar+pO08XcXlmzLJiAEp0YvRzZ7myISqd6+65GzkWDlEvg8QAIObCA5KLXADxXcuaG+f0o656snDE
eznT53eFvpSf3AgG1kVFMf5qAirj1IEn1GoR9gbtd+IAElA6okvEPxxRoMM6lLdAbhpo9I6cWajq
drHinELTmpN17WQgbqgPq+5aWan1bZFTTCHMuXnhambmwAsX2zT0OXbZTQzhycsC230gUFl9Tl0z
H5b2wBmBowIjRItEr+yS/CLrMkkiJ+sMXOL2qxxs0rMspJqp5+Tpgx1W41s5oaygsxIyvzJhQUnI
LtO8GVZivuxYlKB1p6zON1pEXthotQf5mTdmzz5eLauKiqIEqC+7sHIXxDXINzTLWXwBkwoOc2e8
mtwQF3ZawD3E0U3sRZD7AlOpUThs8tYiAkgWZfqwDBWfqnBeDazOer/+f9M1t30QRfl8vo5xviuC
bPk+kMwYueuwVt/eJiLOPya/9qOXBZ38UHSVFbV9WD+/HtR6xC/JiPwc5JNR8NcrMBw90yN6CZv0
+jJfnUQwMG+/1hz7lOJwEBfgXFhfnFEJ5+4p6Tk1vPyEG32+/JuXnmCjoNejv17pFC4T16nFmH9W
C4Z7anu2QnraPKRHyfK+FlxCxi4xZEO1F6oLLf0WLQyTIs6VNZKWrMXMqUb/MR0cSPhuCaZ3alOg
5AAy8O0Z93Xg0TdB1XRbhVnW1+aGf5AlAA3Ce2tkCPSGGWAztD1qttcX82tfCbruQRXpEH+ztqby
mwzBH9Fhe4b/z8Qw3++OIdz5iA/mZ6eD1QIMFtALUhrb+VDXguudchtaPeiD2Fx/nBbwWT84IQ40
uTchjFMwOYiI0STwlC24JoAezBaLA+r6+l1O4eAJvrtGA3Pd+OtNYPfbqvUzC4R16sJLQOX71uCJ
GO7PCNemx4q+X9V9tL7+uAXCMNt602XSpDOMtjCV6ds8JZ00+1pwmBG0WZNBIY+irj9PC5ahIF8a
eUf8AklHW7WZbbRwaAvGKd/QWGJ9X0J+yzL5/Iyg02kzTRvMiBZ42CwR21kPZM6BLTinNBeBQ7in
pT9LCyZV8yQ2GtmCqZ9a5EFIsD/tHdkuUEQDIqrqeFMXtvKjWviBPcW3nXg3FNHoXG3URSCf2qo/
94Pd3vPx99t9p9pcqm1V7YcKGmNz742bVZ//rpnbem+89+Vur7y+z/bftw/4+Na1e+2eavfHnggy
PxuGy/UXy+0wr/0Z+/j/Rf69XyfM5r1g6t9H8ter2jj33v9/CJZTfydnveGmxWj3WT3PL8qFRTeJ
64JJ3x1D8NSPpS93ktZDBhpg9/nXh9z1I5DFswMavc2us6mawdRIMn+U7EapRk0zLctIc8lxHAxz
MSxq+0SHAt/mws+CyC/9LNhJUsN2XfMIyt7tbU+ShxOUU8zu6+yF9HwfwQov0LoY1a1wc55sqvbL
IIFysS55syltKrmHxoXY1zjgwSpR21Tw65Ef1gwQxC39CC7kNR0ScSLqM3JzTGk85HgEAH5dyzQl
Eg9oLDkpD8TSw9pc7JvHvokKH/0IgnngYjhd7iSt3R7nlyNMkrdJIeQjNYNIfATb6PsirnkPUkXH
WF76PlHkQ8aTFkGcnX5+fRno+1L6Q0LjQZ7XbJpiGOsYKhHDUIz9enhnc5JratR9wVogk7xm2UBT
KBjg5rIljN+SWvSabzKoUjyS9KTIDkUfZeBJnB/4EFVu4zVXyXVwn9FUWNe24cKE21jb18HCr69b
HO/MI2yfroPypOfPUgm8Y21iIt87wuxR8q+CTAbLnRKUpyKUrQBHm9qgEt4PKjGsLWMIVxHiYwj/
mmTTnaTtuFUIvrHoJANBtutnCStl3Vw2wYvj3ODMnx7OfeqliJM1FX8TirrGN8GGxmKnETuS+qkG
rBfvCE72JgvGhxF0khzNVXEbxLFcRgv/4JhAqa+KPDRVyX+xeT1flf/ttP/Sae/DGsr4KUMkZKBq
UZuOf3ODx4aoxB/hPPIR7QdSBjXPZVKnegTP+DGo6qfKbRilqUqew71r+Co/BdmMlW33ypS3MlmK
j+AInySTpyzzCI7kZcSvhhr5HMj85MnBk+I8gvG92MzSdOzPQ6q+KPmpSNO39O3j+NMuLfvUv9WD
a+oXwyjws7//BQAA//8=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7620</xdr:colOff>
      <xdr:row>13</xdr:row>
      <xdr:rowOff>26670</xdr:rowOff>
    </xdr:from>
    <xdr:to>
      <xdr:col>8</xdr:col>
      <xdr:colOff>327660</xdr:colOff>
      <xdr:row>26</xdr:row>
      <xdr:rowOff>163830</xdr:rowOff>
    </xdr:to>
    <xdr:graphicFrame macro="">
      <xdr:nvGraphicFramePr>
        <xdr:cNvPr id="3" name="Chart 2">
          <a:extLst>
            <a:ext uri="{FF2B5EF4-FFF2-40B4-BE49-F238E27FC236}">
              <a16:creationId xmlns:a16="http://schemas.microsoft.com/office/drawing/2014/main" id="{A703A9BF-6F07-5BDA-8617-D8FD5ED3E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0</xdr:rowOff>
    </xdr:from>
    <xdr:to>
      <xdr:col>3</xdr:col>
      <xdr:colOff>419100</xdr:colOff>
      <xdr:row>25</xdr:row>
      <xdr:rowOff>11430</xdr:rowOff>
    </xdr:to>
    <xdr:graphicFrame macro="">
      <xdr:nvGraphicFramePr>
        <xdr:cNvPr id="5" name="Chart 4">
          <a:extLst>
            <a:ext uri="{FF2B5EF4-FFF2-40B4-BE49-F238E27FC236}">
              <a16:creationId xmlns:a16="http://schemas.microsoft.com/office/drawing/2014/main" id="{DDE69861-925D-4A41-9034-10363EF3A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60960</xdr:colOff>
      <xdr:row>12</xdr:row>
      <xdr:rowOff>171450</xdr:rowOff>
    </xdr:from>
    <xdr:to>
      <xdr:col>15</xdr:col>
      <xdr:colOff>121920</xdr:colOff>
      <xdr:row>27</xdr:row>
      <xdr:rowOff>171450</xdr:rowOff>
    </xdr:to>
    <xdr:graphicFrame macro="">
      <xdr:nvGraphicFramePr>
        <xdr:cNvPr id="6" name="Chart 5">
          <a:extLst>
            <a:ext uri="{FF2B5EF4-FFF2-40B4-BE49-F238E27FC236}">
              <a16:creationId xmlns:a16="http://schemas.microsoft.com/office/drawing/2014/main" id="{26888481-9CA3-76B8-9A47-6A63639EF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266700</xdr:colOff>
      <xdr:row>13</xdr:row>
      <xdr:rowOff>144780</xdr:rowOff>
    </xdr:from>
    <xdr:ext cx="1298048" cy="264560"/>
    <xdr:sp macro="" textlink="">
      <xdr:nvSpPr>
        <xdr:cNvPr id="7" name="TextBox 6">
          <a:extLst>
            <a:ext uri="{FF2B5EF4-FFF2-40B4-BE49-F238E27FC236}">
              <a16:creationId xmlns:a16="http://schemas.microsoft.com/office/drawing/2014/main" id="{8A90EE7F-8A90-1385-5512-CA11B6FB72B7}"/>
            </a:ext>
          </a:extLst>
        </xdr:cNvPr>
        <xdr:cNvSpPr txBox="1"/>
      </xdr:nvSpPr>
      <xdr:spPr>
        <a:xfrm>
          <a:off x="10264140" y="2522220"/>
          <a:ext cx="12980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Loan intent analysis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0.31833</cdr:x>
      <cdr:y>0.00694</cdr:y>
    </cdr:from>
    <cdr:to>
      <cdr:x>0.72667</cdr:x>
      <cdr:y>0.10694</cdr:y>
    </cdr:to>
    <cdr:sp macro="" textlink="">
      <cdr:nvSpPr>
        <cdr:cNvPr id="2" name="TextBox 1">
          <a:extLst xmlns:a="http://schemas.openxmlformats.org/drawingml/2006/main">
            <a:ext uri="{FF2B5EF4-FFF2-40B4-BE49-F238E27FC236}">
              <a16:creationId xmlns:a16="http://schemas.microsoft.com/office/drawing/2014/main" id="{8424B5B8-8CFD-B566-E25D-E74FEDAD05DE}"/>
            </a:ext>
          </a:extLst>
        </cdr:cNvPr>
        <cdr:cNvSpPr txBox="1"/>
      </cdr:nvSpPr>
      <cdr:spPr>
        <a:xfrm xmlns:a="http://schemas.openxmlformats.org/drawingml/2006/main">
          <a:off x="1455420" y="19050"/>
          <a:ext cx="1866900" cy="2743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Loan amount Vs loan Status</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0</xdr:colOff>
      <xdr:row>1</xdr:row>
      <xdr:rowOff>0</xdr:rowOff>
    </xdr:from>
    <xdr:to>
      <xdr:col>11</xdr:col>
      <xdr:colOff>571500</xdr:colOff>
      <xdr:row>16</xdr:row>
      <xdr:rowOff>0</xdr:rowOff>
    </xdr:to>
    <xdr:graphicFrame macro="">
      <xdr:nvGraphicFramePr>
        <xdr:cNvPr id="3" name="Chart 2">
          <a:extLst>
            <a:ext uri="{FF2B5EF4-FFF2-40B4-BE49-F238E27FC236}">
              <a16:creationId xmlns:a16="http://schemas.microsoft.com/office/drawing/2014/main" id="{47B4D4D3-F291-4596-935D-F808E4D49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434340</xdr:colOff>
      <xdr:row>18</xdr:row>
      <xdr:rowOff>45720</xdr:rowOff>
    </xdr:from>
    <xdr:to>
      <xdr:col>7</xdr:col>
      <xdr:colOff>91440</xdr:colOff>
      <xdr:row>32</xdr:row>
      <xdr:rowOff>66675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CB18DA69-B6B7-6E83-FBAC-DE3F78A5588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886200" y="3337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83493E3-7B55-D703-2B08-792AFA2D15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lla" refreshedDate="46100.924903009261" createdVersion="8" refreshedVersion="8" minRefreshableVersion="3" recordCount="1000" xr:uid="{B535A6D0-833E-4BB6-BB66-00F5AAFADDE5}">
  <cacheSource type="worksheet">
    <worksheetSource ref="A1:S1001" sheet="day4 excel"/>
  </cacheSource>
  <cacheFields count="22">
    <cacheField name="Loan ID" numFmtId="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21"/>
    </cacheField>
    <cacheField name="Borrower ID" numFmtId="0">
      <sharedItems/>
    </cacheField>
    <cacheField name="State" numFmtId="49">
      <sharedItems count="10">
        <s v="OH"/>
        <s v="PA"/>
        <s v="NY"/>
        <s v="MI"/>
        <s v="NC"/>
        <s v="GA"/>
        <s v="IL"/>
        <s v="CA"/>
        <s v="FL"/>
        <s v="TX"/>
      </sharedItems>
    </cacheField>
    <cacheField name="Loan Amount" numFmtId="2">
      <sharedItems containsSemiMixedTypes="0" containsString="0" containsNumber="1" containsInteger="1" minValue="1060" maxValue="39908" count="989">
        <n v="23180"/>
        <n v="32896"/>
        <n v="13875"/>
        <n v="2622"/>
        <n v="17725"/>
        <n v="16646"/>
        <n v="18029"/>
        <n v="30402"/>
        <n v="5263"/>
        <n v="31987"/>
        <n v="9646"/>
        <n v="28529"/>
        <n v="12664"/>
        <n v="36737"/>
        <n v="36796"/>
        <n v="25027"/>
        <n v="30373"/>
        <n v="37397"/>
        <n v="21609"/>
        <n v="36835"/>
        <n v="39709"/>
        <n v="20250"/>
        <n v="22172"/>
        <n v="12555"/>
        <n v="22874"/>
        <n v="14081"/>
        <n v="25063"/>
        <n v="7819"/>
        <n v="26712"/>
        <n v="25762"/>
        <n v="12046"/>
        <n v="32463"/>
        <n v="29769"/>
        <n v="24150"/>
        <n v="3711"/>
        <n v="5853"/>
        <n v="30077"/>
        <n v="24863"/>
        <n v="22792"/>
        <n v="9942"/>
        <n v="2762"/>
        <n v="32987"/>
        <n v="16850"/>
        <n v="13112"/>
        <n v="25058"/>
        <n v="39890"/>
        <n v="1481"/>
        <n v="33921"/>
        <n v="2524"/>
        <n v="35888"/>
        <n v="16048"/>
        <n v="36111"/>
        <n v="38904"/>
        <n v="35008"/>
        <n v="1060"/>
        <n v="10130"/>
        <n v="19023"/>
        <n v="14350"/>
        <n v="25354"/>
        <n v="29145"/>
        <n v="35020"/>
        <n v="21587"/>
        <n v="10650"/>
        <n v="20933"/>
        <n v="21581"/>
        <n v="24393"/>
        <n v="24051"/>
        <n v="27212"/>
        <n v="5090"/>
        <n v="7960"/>
        <n v="36772"/>
        <n v="22520"/>
        <n v="37408"/>
        <n v="29470"/>
        <n v="21491"/>
        <n v="2341"/>
        <n v="25791"/>
        <n v="1338"/>
        <n v="6895"/>
        <n v="13254"/>
        <n v="12344"/>
        <n v="2750"/>
        <n v="3421"/>
        <n v="6319"/>
        <n v="16896"/>
        <n v="12918"/>
        <n v="26064"/>
        <n v="28935"/>
        <n v="38641"/>
        <n v="30711"/>
        <n v="5806"/>
        <n v="13182"/>
        <n v="23297"/>
        <n v="20541"/>
        <n v="29921"/>
        <n v="17774"/>
        <n v="38198"/>
        <n v="9820"/>
        <n v="25070"/>
        <n v="5232"/>
        <n v="12122"/>
        <n v="16023"/>
        <n v="9007"/>
        <n v="18905"/>
        <n v="30398"/>
        <n v="35268"/>
        <n v="7737"/>
        <n v="37062"/>
        <n v="26510"/>
        <n v="20426"/>
        <n v="38265"/>
        <n v="18850"/>
        <n v="1614"/>
        <n v="22776"/>
        <n v="25077"/>
        <n v="10374"/>
        <n v="36435"/>
        <n v="31907"/>
        <n v="14409"/>
        <n v="17514"/>
        <n v="30866"/>
        <n v="3983"/>
        <n v="32705"/>
        <n v="21662"/>
        <n v="24510"/>
        <n v="13651"/>
        <n v="29535"/>
        <n v="7640"/>
        <n v="16317"/>
        <n v="8564"/>
        <n v="28345"/>
        <n v="29687"/>
        <n v="14737"/>
        <n v="10323"/>
        <n v="16229"/>
        <n v="9502"/>
        <n v="1545"/>
        <n v="38114"/>
        <n v="30430"/>
        <n v="10996"/>
        <n v="28788"/>
        <n v="30969"/>
        <n v="14919"/>
        <n v="4810"/>
        <n v="31586"/>
        <n v="17371"/>
        <n v="30629"/>
        <n v="9436"/>
        <n v="13984"/>
        <n v="34039"/>
        <n v="20895"/>
        <n v="19155"/>
        <n v="11616"/>
        <n v="38129"/>
        <n v="25574"/>
        <n v="4430"/>
        <n v="13676"/>
        <n v="11816"/>
        <n v="33733"/>
        <n v="21144"/>
        <n v="3050"/>
        <n v="34933"/>
        <n v="25951"/>
        <n v="33413"/>
        <n v="35801"/>
        <n v="33913"/>
        <n v="26280"/>
        <n v="25557"/>
        <n v="36400"/>
        <n v="5494"/>
        <n v="16152"/>
        <n v="24895"/>
        <n v="10155"/>
        <n v="32883"/>
        <n v="2828"/>
        <n v="33123"/>
        <n v="38573"/>
        <n v="1806"/>
        <n v="30757"/>
        <n v="35636"/>
        <n v="15561"/>
        <n v="25262"/>
        <n v="15899"/>
        <n v="16934"/>
        <n v="39197"/>
        <n v="37332"/>
        <n v="35157"/>
        <n v="12593"/>
        <n v="18320"/>
        <n v="28376"/>
        <n v="15199"/>
        <n v="16876"/>
        <n v="9245"/>
        <n v="8214"/>
        <n v="1726"/>
        <n v="12362"/>
        <n v="19297"/>
        <n v="31448"/>
        <n v="27172"/>
        <n v="8657"/>
        <n v="19850"/>
        <n v="26425"/>
        <n v="27685"/>
        <n v="25578"/>
        <n v="29831"/>
        <n v="8906"/>
        <n v="8287"/>
        <n v="34660"/>
        <n v="11222"/>
        <n v="38443"/>
        <n v="35701"/>
        <n v="18764"/>
        <n v="18674"/>
        <n v="19024"/>
        <n v="24874"/>
        <n v="33284"/>
        <n v="18602"/>
        <n v="38784"/>
        <n v="24265"/>
        <n v="26931"/>
        <n v="29841"/>
        <n v="30192"/>
        <n v="16585"/>
        <n v="26559"/>
        <n v="34742"/>
        <n v="5133"/>
        <n v="15663"/>
        <n v="22754"/>
        <n v="4972"/>
        <n v="6295"/>
        <n v="30125"/>
        <n v="10903"/>
        <n v="4020"/>
        <n v="21420"/>
        <n v="22452"/>
        <n v="39001"/>
        <n v="10516"/>
        <n v="3396"/>
        <n v="19546"/>
        <n v="20129"/>
        <n v="2591"/>
        <n v="12303"/>
        <n v="31561"/>
        <n v="7183"/>
        <n v="27572"/>
        <n v="35080"/>
        <n v="21695"/>
        <n v="8314"/>
        <n v="20623"/>
        <n v="3139"/>
        <n v="32290"/>
        <n v="19088"/>
        <n v="34130"/>
        <n v="33088"/>
        <n v="27292"/>
        <n v="21670"/>
        <n v="4738"/>
        <n v="3469"/>
        <n v="23534"/>
        <n v="10017"/>
        <n v="3808"/>
        <n v="13713"/>
        <n v="3719"/>
        <n v="23890"/>
        <n v="12700"/>
        <n v="37509"/>
        <n v="37766"/>
        <n v="27705"/>
        <n v="19787"/>
        <n v="27588"/>
        <n v="27123"/>
        <n v="34062"/>
        <n v="11177"/>
        <n v="22727"/>
        <n v="31220"/>
        <n v="10882"/>
        <n v="2136"/>
        <n v="35832"/>
        <n v="32966"/>
        <n v="8009"/>
        <n v="13987"/>
        <n v="38311"/>
        <n v="32575"/>
        <n v="2007"/>
        <n v="6445"/>
        <n v="11706"/>
        <n v="30257"/>
        <n v="22736"/>
        <n v="14281"/>
        <n v="2435"/>
        <n v="34339"/>
        <n v="36150"/>
        <n v="26821"/>
        <n v="27660"/>
        <n v="6084"/>
        <n v="17661"/>
        <n v="14507"/>
        <n v="8059"/>
        <n v="19271"/>
        <n v="8491"/>
        <n v="15859"/>
        <n v="9073"/>
        <n v="10077"/>
        <n v="21953"/>
        <n v="12383"/>
        <n v="3353"/>
        <n v="24821"/>
        <n v="38567"/>
        <n v="25860"/>
        <n v="22195"/>
        <n v="12939"/>
        <n v="26338"/>
        <n v="22730"/>
        <n v="22427"/>
        <n v="36196"/>
        <n v="28083"/>
        <n v="22510"/>
        <n v="8813"/>
        <n v="32598"/>
        <n v="28570"/>
        <n v="28082"/>
        <n v="30241"/>
        <n v="31678"/>
        <n v="12745"/>
        <n v="27029"/>
        <n v="14025"/>
        <n v="37124"/>
        <n v="15288"/>
        <n v="24650"/>
        <n v="7540"/>
        <n v="33232"/>
        <n v="17422"/>
        <n v="4342"/>
        <n v="36612"/>
        <n v="11396"/>
        <n v="18482"/>
        <n v="24411"/>
        <n v="14261"/>
        <n v="4093"/>
        <n v="12722"/>
        <n v="23042"/>
        <n v="29087"/>
        <n v="33347"/>
        <n v="34756"/>
        <n v="17335"/>
        <n v="29602"/>
        <n v="35450"/>
        <n v="33196"/>
        <n v="6626"/>
        <n v="8424"/>
        <n v="13857"/>
        <n v="20982"/>
        <n v="12425"/>
        <n v="2980"/>
        <n v="27431"/>
        <n v="20440"/>
        <n v="18175"/>
        <n v="27385"/>
        <n v="39158"/>
        <n v="24019"/>
        <n v="19639"/>
        <n v="20994"/>
        <n v="35375"/>
        <n v="22563"/>
        <n v="6776"/>
        <n v="37444"/>
        <n v="4380"/>
        <n v="9711"/>
        <n v="9782"/>
        <n v="18434"/>
        <n v="21017"/>
        <n v="31707"/>
        <n v="18343"/>
        <n v="39827"/>
        <n v="6655"/>
        <n v="16251"/>
        <n v="1526"/>
        <n v="4224"/>
        <n v="12536"/>
        <n v="29541"/>
        <n v="14547"/>
        <n v="35531"/>
        <n v="9712"/>
        <n v="39565"/>
        <n v="10208"/>
        <n v="6109"/>
        <n v="36201"/>
        <n v="17967"/>
        <n v="30759"/>
        <n v="21172"/>
        <n v="37935"/>
        <n v="27589"/>
        <n v="31015"/>
        <n v="30009"/>
        <n v="18773"/>
        <n v="27143"/>
        <n v="7154"/>
        <n v="22804"/>
        <n v="31087"/>
        <n v="33981"/>
        <n v="4762"/>
        <n v="10768"/>
        <n v="39559"/>
        <n v="9783"/>
        <n v="30781"/>
        <n v="31811"/>
        <n v="36488"/>
        <n v="9905"/>
        <n v="10127"/>
        <n v="23431"/>
        <n v="7368"/>
        <n v="28424"/>
        <n v="19333"/>
        <n v="24116"/>
        <n v="16525"/>
        <n v="24398"/>
        <n v="33857"/>
        <n v="11361"/>
        <n v="17369"/>
        <n v="4041"/>
        <n v="1105"/>
        <n v="10078"/>
        <n v="26003"/>
        <n v="7090"/>
        <n v="39850"/>
        <n v="2925"/>
        <n v="19440"/>
        <n v="27015"/>
        <n v="34320"/>
        <n v="26291"/>
        <n v="37679"/>
        <n v="27289"/>
        <n v="4389"/>
        <n v="26683"/>
        <n v="14629"/>
        <n v="25826"/>
        <n v="36198"/>
        <n v="27630"/>
        <n v="34226"/>
        <n v="33975"/>
        <n v="1899"/>
        <n v="12653"/>
        <n v="28961"/>
        <n v="17405"/>
        <n v="9601"/>
        <n v="34662"/>
        <n v="34282"/>
        <n v="22288"/>
        <n v="30545"/>
        <n v="37877"/>
        <n v="16313"/>
        <n v="16349"/>
        <n v="8179"/>
        <n v="11326"/>
        <n v="2560"/>
        <n v="14612"/>
        <n v="18650"/>
        <n v="27745"/>
        <n v="32890"/>
        <n v="21022"/>
        <n v="5780"/>
        <n v="19311"/>
        <n v="29380"/>
        <n v="3356"/>
        <n v="5790"/>
        <n v="27911"/>
        <n v="25363"/>
        <n v="21049"/>
        <n v="11181"/>
        <n v="17082"/>
        <n v="1661"/>
        <n v="38412"/>
        <n v="3920"/>
        <n v="26658"/>
        <n v="15025"/>
        <n v="9946"/>
        <n v="29706"/>
        <n v="17309"/>
        <n v="34120"/>
        <n v="31027"/>
        <n v="8005"/>
        <n v="1956"/>
        <n v="35839"/>
        <n v="9595"/>
        <n v="13803"/>
        <n v="26963"/>
        <n v="37221"/>
        <n v="34723"/>
        <n v="16282"/>
        <n v="5703"/>
        <n v="7563"/>
        <n v="26849"/>
        <n v="32860"/>
        <n v="32585"/>
        <n v="23015"/>
        <n v="13003"/>
        <n v="27958"/>
        <n v="27017"/>
        <n v="12171"/>
        <n v="13201"/>
        <n v="30426"/>
        <n v="18778"/>
        <n v="22116"/>
        <n v="34297"/>
        <n v="20342"/>
        <n v="28490"/>
        <n v="20975"/>
        <n v="27723"/>
        <n v="24279"/>
        <n v="13765"/>
        <n v="12561"/>
        <n v="1525"/>
        <n v="23861"/>
        <n v="34142"/>
        <n v="27916"/>
        <n v="5648"/>
        <n v="36133"/>
        <n v="31523"/>
        <n v="30052"/>
        <n v="35414"/>
        <n v="33781"/>
        <n v="5599"/>
        <n v="36046"/>
        <n v="36923"/>
        <n v="4814"/>
        <n v="36984"/>
        <n v="27616"/>
        <n v="3113"/>
        <n v="14760"/>
        <n v="22927"/>
        <n v="21939"/>
        <n v="33419"/>
        <n v="13588"/>
        <n v="37142"/>
        <n v="34397"/>
        <n v="17653"/>
        <n v="11831"/>
        <n v="6724"/>
        <n v="12083"/>
        <n v="20816"/>
        <n v="7276"/>
        <n v="39663"/>
        <n v="14994"/>
        <n v="24499"/>
        <n v="24040"/>
        <n v="17959"/>
        <n v="7099"/>
        <n v="20576"/>
        <n v="36946"/>
        <n v="7116"/>
        <n v="16563"/>
        <n v="27788"/>
        <n v="27928"/>
        <n v="37336"/>
        <n v="10847"/>
        <n v="27155"/>
        <n v="15135"/>
        <n v="18774"/>
        <n v="2742"/>
        <n v="19309"/>
        <n v="1619"/>
        <n v="18658"/>
        <n v="35707"/>
        <n v="21337"/>
        <n v="17001"/>
        <n v="1968"/>
        <n v="26892"/>
        <n v="26619"/>
        <n v="1281"/>
        <n v="28420"/>
        <n v="16360"/>
        <n v="2058"/>
        <n v="21677"/>
        <n v="11724"/>
        <n v="29404"/>
        <n v="38946"/>
        <n v="30856"/>
        <n v="10200"/>
        <n v="34997"/>
        <n v="26611"/>
        <n v="36057"/>
        <n v="2239"/>
        <n v="39138"/>
        <n v="1125"/>
        <n v="24857"/>
        <n v="16398"/>
        <n v="7638"/>
        <n v="7570"/>
        <n v="4249"/>
        <n v="10110"/>
        <n v="14605"/>
        <n v="13115"/>
        <n v="23911"/>
        <n v="39525"/>
        <n v="33556"/>
        <n v="13595"/>
        <n v="2969"/>
        <n v="18275"/>
        <n v="5470"/>
        <n v="11225"/>
        <n v="24196"/>
        <n v="14669"/>
        <n v="38380"/>
        <n v="39006"/>
        <n v="16577"/>
        <n v="23473"/>
        <n v="29625"/>
        <n v="16504"/>
        <n v="25089"/>
        <n v="37487"/>
        <n v="1302"/>
        <n v="30259"/>
        <n v="38208"/>
        <n v="31659"/>
        <n v="36840"/>
        <n v="14598"/>
        <n v="20508"/>
        <n v="14380"/>
        <n v="27984"/>
        <n v="9125"/>
        <n v="37059"/>
        <n v="5033"/>
        <n v="38873"/>
        <n v="18087"/>
        <n v="6704"/>
        <n v="8848"/>
        <n v="22592"/>
        <n v="7924"/>
        <n v="28208"/>
        <n v="20614"/>
        <n v="1488"/>
        <n v="26923"/>
        <n v="36941"/>
        <n v="30165"/>
        <n v="2667"/>
        <n v="27213"/>
        <n v="5114"/>
        <n v="37321"/>
        <n v="8761"/>
        <n v="32116"/>
        <n v="34768"/>
        <n v="26426"/>
        <n v="18772"/>
        <n v="39218"/>
        <n v="4712"/>
        <n v="2367"/>
        <n v="27200"/>
        <n v="4726"/>
        <n v="24616"/>
        <n v="28723"/>
        <n v="38574"/>
        <n v="35958"/>
        <n v="10108"/>
        <n v="13178"/>
        <n v="36643"/>
        <n v="32324"/>
        <n v="39360"/>
        <n v="18824"/>
        <n v="9927"/>
        <n v="29144"/>
        <n v="32010"/>
        <n v="23443"/>
        <n v="15437"/>
        <n v="12207"/>
        <n v="26537"/>
        <n v="36757"/>
        <n v="13040"/>
        <n v="23612"/>
        <n v="29441"/>
        <n v="7471"/>
        <n v="36631"/>
        <n v="27523"/>
        <n v="32348"/>
        <n v="2177"/>
        <n v="5760"/>
        <n v="33779"/>
        <n v="22636"/>
        <n v="17353"/>
        <n v="12556"/>
        <n v="28598"/>
        <n v="12563"/>
        <n v="9234"/>
        <n v="26519"/>
        <n v="27966"/>
        <n v="17173"/>
        <n v="27987"/>
        <n v="14178"/>
        <n v="25596"/>
        <n v="34174"/>
        <n v="5431"/>
        <n v="28764"/>
        <n v="22627"/>
        <n v="9906"/>
        <n v="37914"/>
        <n v="14076"/>
        <n v="38650"/>
        <n v="7012"/>
        <n v="8151"/>
        <n v="29211"/>
        <n v="28117"/>
        <n v="37378"/>
        <n v="7894"/>
        <n v="14467"/>
        <n v="13289"/>
        <n v="24171"/>
        <n v="35905"/>
        <n v="21829"/>
        <n v="35054"/>
        <n v="30734"/>
        <n v="8052"/>
        <n v="4654"/>
        <n v="24486"/>
        <n v="19743"/>
        <n v="25489"/>
        <n v="9636"/>
        <n v="7441"/>
        <n v="25611"/>
        <n v="13149"/>
        <n v="35566"/>
        <n v="22675"/>
        <n v="6495"/>
        <n v="14673"/>
        <n v="12130"/>
        <n v="23668"/>
        <n v="16222"/>
        <n v="24669"/>
        <n v="35068"/>
        <n v="24253"/>
        <n v="10435"/>
        <n v="29552"/>
        <n v="38384"/>
        <n v="17393"/>
        <n v="11617"/>
        <n v="39520"/>
        <n v="10852"/>
        <n v="32401"/>
        <n v="7295"/>
        <n v="36993"/>
        <n v="35084"/>
        <n v="37451"/>
        <n v="8227"/>
        <n v="32910"/>
        <n v="37041"/>
        <n v="24384"/>
        <n v="1145"/>
        <n v="38778"/>
        <n v="17035"/>
        <n v="4040"/>
        <n v="27160"/>
        <n v="18633"/>
        <n v="30344"/>
        <n v="18014"/>
        <n v="15996"/>
        <n v="12695"/>
        <n v="3852"/>
        <n v="17014"/>
        <n v="28042"/>
        <n v="34755"/>
        <n v="24711"/>
        <n v="27122"/>
        <n v="10160"/>
        <n v="28213"/>
        <n v="8421"/>
        <n v="22400"/>
        <n v="34537"/>
        <n v="18727"/>
        <n v="5358"/>
        <n v="29482"/>
        <n v="33117"/>
        <n v="24164"/>
        <n v="33496"/>
        <n v="30371"/>
        <n v="39467"/>
        <n v="18625"/>
        <n v="34893"/>
        <n v="11793"/>
        <n v="32007"/>
        <n v="26766"/>
        <n v="13323"/>
        <n v="8843"/>
        <n v="15210"/>
        <n v="17456"/>
        <n v="32367"/>
        <n v="11106"/>
        <n v="38957"/>
        <n v="3472"/>
        <n v="7704"/>
        <n v="4713"/>
        <n v="6051"/>
        <n v="11756"/>
        <n v="3475"/>
        <n v="5255"/>
        <n v="15484"/>
        <n v="35503"/>
        <n v="9258"/>
        <n v="9533"/>
        <n v="33581"/>
        <n v="6249"/>
        <n v="20201"/>
        <n v="10686"/>
        <n v="33007"/>
        <n v="31137"/>
        <n v="11526"/>
        <n v="4374"/>
        <n v="26592"/>
        <n v="29982"/>
        <n v="1207"/>
        <n v="36433"/>
        <n v="24197"/>
        <n v="34400"/>
        <n v="4083"/>
        <n v="30328"/>
        <n v="21103"/>
        <n v="11754"/>
        <n v="35447"/>
        <n v="16901"/>
        <n v="34004"/>
        <n v="8446"/>
        <n v="38211"/>
        <n v="30301"/>
        <n v="27116"/>
        <n v="19752"/>
        <n v="33376"/>
        <n v="17669"/>
        <n v="33916"/>
        <n v="14395"/>
        <n v="21421"/>
        <n v="27342"/>
        <n v="5895"/>
        <n v="12023"/>
        <n v="11699"/>
        <n v="10715"/>
        <n v="20169"/>
        <n v="17163"/>
        <n v="6782"/>
        <n v="23641"/>
        <n v="19792"/>
        <n v="36585"/>
        <n v="31682"/>
        <n v="19880"/>
        <n v="39067"/>
        <n v="19073"/>
        <n v="37035"/>
        <n v="38174"/>
        <n v="25837"/>
        <n v="18826"/>
        <n v="25981"/>
        <n v="11382"/>
        <n v="5437"/>
        <n v="6435"/>
        <n v="25819"/>
        <n v="37875"/>
        <n v="32982"/>
        <n v="34328"/>
        <n v="13329"/>
        <n v="26169"/>
        <n v="22932"/>
        <n v="35594"/>
        <n v="12421"/>
        <n v="8629"/>
        <n v="9325"/>
        <n v="29495"/>
        <n v="32750"/>
        <n v="30619"/>
        <n v="9264"/>
        <n v="13686"/>
        <n v="25226"/>
        <n v="7721"/>
        <n v="8373"/>
        <n v="39675"/>
        <n v="29937"/>
        <n v="6656"/>
        <n v="9984"/>
        <n v="30984"/>
        <n v="9286"/>
        <n v="6901"/>
        <n v="32552"/>
        <n v="26709"/>
        <n v="32055"/>
        <n v="38685"/>
        <n v="9429"/>
        <n v="15716"/>
        <n v="12138"/>
        <n v="36298"/>
        <n v="24429"/>
        <n v="6772"/>
        <n v="36732"/>
        <n v="18347"/>
        <n v="17920"/>
        <n v="32822"/>
        <n v="24563"/>
        <n v="8967"/>
        <n v="12871"/>
        <n v="29763"/>
        <n v="12916"/>
        <n v="9734"/>
        <n v="34613"/>
        <n v="29179"/>
        <n v="36262"/>
        <n v="13677"/>
        <n v="19268"/>
        <n v="13330"/>
        <n v="21733"/>
        <n v="38947"/>
        <n v="28286"/>
        <n v="7610"/>
        <n v="7430"/>
        <n v="14828"/>
        <n v="32497"/>
        <n v="37618"/>
        <n v="27526"/>
        <n v="31158"/>
        <n v="26032"/>
        <n v="38846"/>
        <n v="30794"/>
        <n v="6448"/>
        <n v="29861"/>
        <n v="29141"/>
        <n v="10074"/>
        <n v="7406"/>
        <n v="32823"/>
        <n v="24291"/>
        <n v="33003"/>
        <n v="35406"/>
        <n v="24312"/>
        <n v="2382"/>
        <n v="35171"/>
        <n v="4292"/>
        <n v="34187"/>
        <n v="13411"/>
        <n v="38285"/>
        <n v="16422"/>
        <n v="33371"/>
        <n v="6693"/>
        <n v="34535"/>
        <n v="15818"/>
        <n v="32238"/>
        <n v="31874"/>
        <n v="27715"/>
        <n v="28605"/>
        <n v="35317"/>
        <n v="32174"/>
        <n v="10956"/>
        <n v="39908"/>
        <n v="11837"/>
        <n v="4716"/>
        <n v="5481"/>
        <n v="25282"/>
        <n v="7548"/>
        <n v="38605"/>
        <n v="8758"/>
        <n v="24177"/>
        <n v="25022"/>
        <n v="6542"/>
        <n v="26476"/>
        <n v="31784"/>
        <n v="23740"/>
        <n v="25817"/>
        <n v="17052"/>
        <n v="36153"/>
        <n v="1671"/>
        <n v="1163"/>
        <n v="5795"/>
        <n v="11634"/>
        <n v="5798"/>
        <n v="23420"/>
        <n v="30300"/>
        <n v="25345"/>
        <n v="11749"/>
        <n v="39595"/>
        <n v="26121"/>
        <n v="38487"/>
        <n v="29411"/>
        <n v="34361"/>
        <n v="22223"/>
        <n v="8394"/>
        <n v="15056"/>
        <n v="27035"/>
        <n v="31620"/>
        <n v="20877"/>
        <n v="31911"/>
        <n v="33784"/>
        <n v="4191"/>
        <n v="34160"/>
        <n v="26000"/>
        <n v="4631"/>
        <n v="7172"/>
        <n v="24561"/>
        <n v="21281"/>
      </sharedItems>
    </cacheField>
    <cacheField name="Interest Rate" numFmtId="2">
      <sharedItems containsSemiMixedTypes="0" containsString="0" containsNumber="1" minValue="5" maxValue="25"/>
    </cacheField>
    <cacheField name="Term (Months)" numFmtId="1">
      <sharedItems containsSemiMixedTypes="0" containsString="0" containsNumber="1" containsInteger="1" minValue="36" maxValue="60"/>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2">
      <sharedItems containsSemiMixedTypes="0" containsString="0" containsNumber="1" containsInteger="1" minValue="30203" maxValue="149277" count="995">
        <n v="41676"/>
        <n v="34434"/>
        <n v="79810"/>
        <n v="133361"/>
        <n v="148696"/>
        <n v="124636"/>
        <n v="34994"/>
        <n v="34234"/>
        <n v="99300"/>
        <n v="73949"/>
        <n v="67405"/>
        <n v="64872"/>
        <n v="72215"/>
        <n v="53185"/>
        <n v="73442"/>
        <n v="81759"/>
        <n v="71153"/>
        <n v="107535"/>
        <n v="132023"/>
        <n v="32581"/>
        <n v="81717"/>
        <n v="32763"/>
        <n v="122910"/>
        <n v="85480"/>
        <n v="68759"/>
        <n v="106067"/>
        <n v="148094"/>
        <n v="55307"/>
        <n v="126371"/>
        <n v="41064"/>
        <n v="106848"/>
        <n v="67548"/>
        <n v="66945"/>
        <n v="77937"/>
        <n v="36476"/>
        <n v="81756"/>
        <n v="120101"/>
        <n v="32382"/>
        <n v="79683"/>
        <n v="117999"/>
        <n v="75276"/>
        <n v="63402"/>
        <n v="121881"/>
        <n v="140300"/>
        <n v="56946"/>
        <n v="109698"/>
        <n v="144690"/>
        <n v="142309"/>
        <n v="103933"/>
        <n v="52335"/>
        <n v="75095"/>
        <n v="109930"/>
        <n v="57197"/>
        <n v="52010"/>
        <n v="54123"/>
        <n v="117923"/>
        <n v="32890"/>
        <n v="123305"/>
        <n v="139162"/>
        <n v="38026"/>
        <n v="94925"/>
        <n v="98842"/>
        <n v="63665"/>
        <n v="39277"/>
        <n v="72239"/>
        <n v="77664"/>
        <n v="78008"/>
        <n v="44683"/>
        <n v="30670"/>
        <n v="119211"/>
        <n v="47889"/>
        <n v="85612"/>
        <n v="74535"/>
        <n v="108542"/>
        <n v="84319"/>
        <n v="144072"/>
        <n v="122067"/>
        <n v="51639"/>
        <n v="94712"/>
        <n v="46633"/>
        <n v="64660"/>
        <n v="98975"/>
        <n v="62172"/>
        <n v="89197"/>
        <n v="131158"/>
        <n v="88847"/>
        <n v="41577"/>
        <n v="107299"/>
        <n v="50176"/>
        <n v="74386"/>
        <n v="93972"/>
        <n v="119791"/>
        <n v="71003"/>
        <n v="49996"/>
        <n v="130922"/>
        <n v="116598"/>
        <n v="65931"/>
        <n v="65710"/>
        <n v="64693"/>
        <n v="65740"/>
        <n v="107241"/>
        <n v="138944"/>
        <n v="123583"/>
        <n v="106502"/>
        <n v="47374"/>
        <n v="106674"/>
        <n v="146500"/>
        <n v="111471"/>
        <n v="75913"/>
        <n v="96025"/>
        <n v="74516"/>
        <n v="117796"/>
        <n v="56069"/>
        <n v="148333"/>
        <n v="86233"/>
        <n v="114811"/>
        <n v="89049"/>
        <n v="131820"/>
        <n v="148028"/>
        <n v="69178"/>
        <n v="62821"/>
        <n v="81727"/>
        <n v="90935"/>
        <n v="46999"/>
        <n v="92522"/>
        <n v="68712"/>
        <n v="94551"/>
        <n v="70172"/>
        <n v="63722"/>
        <n v="40625"/>
        <n v="97165"/>
        <n v="106509"/>
        <n v="36859"/>
        <n v="71609"/>
        <n v="73307"/>
        <n v="140986"/>
        <n v="131582"/>
        <n v="51839"/>
        <n v="57216"/>
        <n v="82953"/>
        <n v="114481"/>
        <n v="90593"/>
        <n v="102075"/>
        <n v="79522"/>
        <n v="129161"/>
        <n v="34886"/>
        <n v="141249"/>
        <n v="37485"/>
        <n v="61455"/>
        <n v="141984"/>
        <n v="46767"/>
        <n v="142701"/>
        <n v="58453"/>
        <n v="106280"/>
        <n v="132638"/>
        <n v="83442"/>
        <n v="81877"/>
        <n v="42226"/>
        <n v="123405"/>
        <n v="52588"/>
        <n v="108976"/>
        <n v="61709"/>
        <n v="77788"/>
        <n v="118031"/>
        <n v="67019"/>
        <n v="74948"/>
        <n v="95133"/>
        <n v="144444"/>
        <n v="96458"/>
        <n v="147603"/>
        <n v="57526"/>
        <n v="103493"/>
        <n v="82198"/>
        <n v="144100"/>
        <n v="129534"/>
        <n v="73395"/>
        <n v="54031"/>
        <n v="105542"/>
        <n v="67701"/>
        <n v="142599"/>
        <n v="55939"/>
        <n v="79145"/>
        <n v="50324"/>
        <n v="52867"/>
        <n v="30203"/>
        <n v="46544"/>
        <n v="45899"/>
        <n v="59063"/>
        <n v="120880"/>
        <n v="33748"/>
        <n v="135022"/>
        <n v="147269"/>
        <n v="96629"/>
        <n v="110764"/>
        <n v="50884"/>
        <n v="55183"/>
        <n v="111570"/>
        <n v="101246"/>
        <n v="138036"/>
        <n v="49259"/>
        <n v="65959"/>
        <n v="146525"/>
        <n v="63457"/>
        <n v="115679"/>
        <n v="32103"/>
        <n v="95901"/>
        <n v="142314"/>
        <n v="46103"/>
        <n v="128046"/>
        <n v="120012"/>
        <n v="108278"/>
        <n v="42391"/>
        <n v="132476"/>
        <n v="58901"/>
        <n v="127537"/>
        <n v="111159"/>
        <n v="97914"/>
        <n v="80357"/>
        <n v="116908"/>
        <n v="140335"/>
        <n v="68437"/>
        <n v="65503"/>
        <n v="126282"/>
        <n v="123459"/>
        <n v="105403"/>
        <n v="71258"/>
        <n v="63724"/>
        <n v="94286"/>
        <n v="104842"/>
        <n v="134927"/>
        <n v="44908"/>
        <n v="122617"/>
        <n v="80626"/>
        <n v="67228"/>
        <n v="53386"/>
        <n v="76754"/>
        <n v="140942"/>
        <n v="58302"/>
        <n v="90815"/>
        <n v="114748"/>
        <n v="93344"/>
        <n v="65618"/>
        <n v="141603"/>
        <n v="106234"/>
        <n v="91114"/>
        <n v="147652"/>
        <n v="100130"/>
        <n v="55525"/>
        <n v="109818"/>
        <n v="144589"/>
        <n v="44334"/>
        <n v="124715"/>
        <n v="92767"/>
        <n v="36644"/>
        <n v="131154"/>
        <n v="143237"/>
        <n v="62933"/>
        <n v="73469"/>
        <n v="63687"/>
        <n v="136609"/>
        <n v="82656"/>
        <n v="47375"/>
        <n v="144019"/>
        <n v="95206"/>
        <n v="126462"/>
        <n v="66607"/>
        <n v="113178"/>
        <n v="53993"/>
        <n v="76287"/>
        <n v="116724"/>
        <n v="128132"/>
        <n v="123308"/>
        <n v="126393"/>
        <n v="106312"/>
        <n v="128371"/>
        <n v="105324"/>
        <n v="101196"/>
        <n v="100014"/>
        <n v="38210"/>
        <n v="40922"/>
        <n v="66289"/>
        <n v="63340"/>
        <n v="69850"/>
        <n v="86984"/>
        <n v="133699"/>
        <n v="143711"/>
        <n v="114178"/>
        <n v="41094"/>
        <n v="117959"/>
        <n v="63418"/>
        <n v="35741"/>
        <n v="141585"/>
        <n v="102374"/>
        <n v="147275"/>
        <n v="98798"/>
        <n v="146026"/>
        <n v="100532"/>
        <n v="140130"/>
        <n v="52164"/>
        <n v="65595"/>
        <n v="60257"/>
        <n v="44211"/>
        <n v="125989"/>
        <n v="35232"/>
        <n v="97753"/>
        <n v="82691"/>
        <n v="119765"/>
        <n v="109768"/>
        <n v="55613"/>
        <n v="44026"/>
        <n v="83535"/>
        <n v="124090"/>
        <n v="60908"/>
        <n v="82113"/>
        <n v="49610"/>
        <n v="76646"/>
        <n v="135141"/>
        <n v="93185"/>
        <n v="102567"/>
        <n v="77574"/>
        <n v="121051"/>
        <n v="132020"/>
        <n v="66182"/>
        <n v="146136"/>
        <n v="30570"/>
        <n v="127790"/>
        <n v="49288"/>
        <n v="108824"/>
        <n v="59877"/>
        <n v="114425"/>
        <n v="30917"/>
        <n v="105602"/>
        <n v="125040"/>
        <n v="94575"/>
        <n v="102518"/>
        <n v="69104"/>
        <n v="48062"/>
        <n v="91845"/>
        <n v="39941"/>
        <n v="91169"/>
        <n v="53470"/>
        <n v="140684"/>
        <n v="89821"/>
        <n v="116669"/>
        <n v="148193"/>
        <n v="74435"/>
        <n v="34529"/>
        <n v="113055"/>
        <n v="42192"/>
        <n v="104102"/>
        <n v="102762"/>
        <n v="133466"/>
        <n v="144894"/>
        <n v="116795"/>
        <n v="64087"/>
        <n v="96677"/>
        <n v="34627"/>
        <n v="86541"/>
        <n v="142805"/>
        <n v="98226"/>
        <n v="135627"/>
        <n v="33255"/>
        <n v="87433"/>
        <n v="35213"/>
        <n v="132412"/>
        <n v="49404"/>
        <n v="146545"/>
        <n v="55380"/>
        <n v="121056"/>
        <n v="49173"/>
        <n v="83027"/>
        <n v="53989"/>
        <n v="138106"/>
        <n v="54519"/>
        <n v="52439"/>
        <n v="148570"/>
        <n v="106949"/>
        <n v="44995"/>
        <n v="53559"/>
        <n v="140887"/>
        <n v="119049"/>
        <n v="35021"/>
        <n v="128000"/>
        <n v="51119"/>
        <n v="81539"/>
        <n v="124835"/>
        <n v="69350"/>
        <n v="76223"/>
        <n v="55517"/>
        <n v="108653"/>
        <n v="52250"/>
        <n v="114486"/>
        <n v="112895"/>
        <n v="119132"/>
        <n v="121066"/>
        <n v="96798"/>
        <n v="84199"/>
        <n v="89546"/>
        <n v="135686"/>
        <n v="118151"/>
        <n v="33327"/>
        <n v="59768"/>
        <n v="94418"/>
        <n v="124386"/>
        <n v="146947"/>
        <n v="72788"/>
        <n v="145945"/>
        <n v="112384"/>
        <n v="76830"/>
        <n v="82446"/>
        <n v="135078"/>
        <n v="45160"/>
        <n v="86583"/>
        <n v="63998"/>
        <n v="57230"/>
        <n v="39076"/>
        <n v="99341"/>
        <n v="61085"/>
        <n v="85571"/>
        <n v="44715"/>
        <n v="35750"/>
        <n v="143931"/>
        <n v="108768"/>
        <n v="148544"/>
        <n v="65903"/>
        <n v="102489"/>
        <n v="62093"/>
        <n v="121036"/>
        <n v="117954"/>
        <n v="149277"/>
        <n v="64314"/>
        <n v="78225"/>
        <n v="117985"/>
        <n v="113014"/>
        <n v="65179"/>
        <n v="147305"/>
        <n v="142417"/>
        <n v="55338"/>
        <n v="122435"/>
        <n v="99681"/>
        <n v="62101"/>
        <n v="32775"/>
        <n v="141497"/>
        <n v="127183"/>
        <n v="75619"/>
        <n v="75838"/>
        <n v="49539"/>
        <n v="132274"/>
        <n v="87124"/>
        <n v="95149"/>
        <n v="56616"/>
        <n v="109655"/>
        <n v="120695"/>
        <n v="84567"/>
        <n v="67099"/>
        <n v="105831"/>
        <n v="130246"/>
        <n v="91799"/>
        <n v="120221"/>
        <n v="144879"/>
        <n v="55479"/>
        <n v="76172"/>
        <n v="129165"/>
        <n v="85863"/>
        <n v="72043"/>
        <n v="112569"/>
        <n v="132438"/>
        <n v="140107"/>
        <n v="45408"/>
        <n v="87980"/>
        <n v="112956"/>
        <n v="46351"/>
        <n v="34131"/>
        <n v="146836"/>
        <n v="74825"/>
        <n v="41349"/>
        <n v="90931"/>
        <n v="74254"/>
        <n v="68225"/>
        <n v="134383"/>
        <n v="42453"/>
        <n v="48814"/>
        <n v="48263"/>
        <n v="107694"/>
        <n v="45735"/>
        <n v="45830"/>
        <n v="77893"/>
        <n v="74673"/>
        <n v="119462"/>
        <n v="75066"/>
        <n v="130315"/>
        <n v="33373"/>
        <n v="40335"/>
        <n v="53741"/>
        <n v="40692"/>
        <n v="77295"/>
        <n v="75541"/>
        <n v="64057"/>
        <n v="96983"/>
        <n v="49583"/>
        <n v="52765"/>
        <n v="89287"/>
        <n v="53906"/>
        <n v="115103"/>
        <n v="109675"/>
        <n v="76525"/>
        <n v="68230"/>
        <n v="147904"/>
        <n v="49520"/>
        <n v="115238"/>
        <n v="81934"/>
        <n v="55566"/>
        <n v="103193"/>
        <n v="133224"/>
        <n v="60134"/>
        <n v="40345"/>
        <n v="71185"/>
        <n v="145464"/>
        <n v="122949"/>
        <n v="100744"/>
        <n v="63455"/>
        <n v="145217"/>
        <n v="58018"/>
        <n v="84219"/>
        <n v="75991"/>
        <n v="103616"/>
        <n v="117438"/>
        <n v="146841"/>
        <n v="39486"/>
        <n v="68862"/>
        <n v="88870"/>
        <n v="116694"/>
        <n v="135996"/>
        <n v="73856"/>
        <n v="131407"/>
        <n v="130744"/>
        <n v="116055"/>
        <n v="61379"/>
        <n v="94729"/>
        <n v="58378"/>
        <n v="135428"/>
        <n v="84353"/>
        <n v="79996"/>
        <n v="44031"/>
        <n v="110072"/>
        <n v="95982"/>
        <n v="66683"/>
        <n v="144091"/>
        <n v="147797"/>
        <n v="47618"/>
        <n v="36587"/>
        <n v="92790"/>
        <n v="61480"/>
        <n v="128530"/>
        <n v="50527"/>
        <n v="53569"/>
        <n v="41151"/>
        <n v="101094"/>
        <n v="89174"/>
        <n v="74739"/>
        <n v="62954"/>
        <n v="142984"/>
        <n v="142863"/>
        <n v="139373"/>
        <n v="65303"/>
        <n v="64700"/>
        <n v="123036"/>
        <n v="97568"/>
        <n v="96788"/>
        <n v="101045"/>
        <n v="67842"/>
        <n v="43900"/>
        <n v="110059"/>
        <n v="31881"/>
        <n v="63037"/>
        <n v="31630"/>
        <n v="50789"/>
        <n v="118059"/>
        <n v="113494"/>
        <n v="76151"/>
        <n v="78920"/>
        <n v="139388"/>
        <n v="97231"/>
        <n v="147946"/>
        <n v="110357"/>
        <n v="33262"/>
        <n v="96981"/>
        <n v="111972"/>
        <n v="105485"/>
        <n v="84722"/>
        <n v="119499"/>
        <n v="80818"/>
        <n v="59932"/>
        <n v="36901"/>
        <n v="147473"/>
        <n v="129023"/>
        <n v="38597"/>
        <n v="93909"/>
        <n v="102391"/>
        <n v="114214"/>
        <n v="38263"/>
        <n v="93293"/>
        <n v="142824"/>
        <n v="55805"/>
        <n v="121679"/>
        <n v="41874"/>
        <n v="123065"/>
        <n v="116402"/>
        <n v="44079"/>
        <n v="79850"/>
        <n v="102779"/>
        <n v="125408"/>
        <n v="39018"/>
        <n v="79500"/>
        <n v="42100"/>
        <n v="87021"/>
        <n v="144995"/>
        <n v="49800"/>
        <n v="93400"/>
        <n v="122446"/>
        <n v="59437"/>
        <n v="133124"/>
        <n v="106537"/>
        <n v="76675"/>
        <n v="49942"/>
        <n v="50862"/>
        <n v="41669"/>
        <n v="83772"/>
        <n v="45916"/>
        <n v="40878"/>
        <n v="32985"/>
        <n v="127905"/>
        <n v="103648"/>
        <n v="71235"/>
        <n v="48931"/>
        <n v="122876"/>
        <n v="30336"/>
        <n v="72933"/>
        <n v="114899"/>
        <n v="75536"/>
        <n v="99504"/>
        <n v="129214"/>
        <n v="81148"/>
        <n v="143936"/>
        <n v="46279"/>
        <n v="98665"/>
        <n v="133751"/>
        <n v="134433"/>
        <n v="101386"/>
        <n v="116124"/>
        <n v="135750"/>
        <n v="107485"/>
        <n v="104055"/>
        <n v="121911"/>
        <n v="128618"/>
        <n v="107273"/>
        <n v="96670"/>
        <n v="106474"/>
        <n v="84028"/>
        <n v="120022"/>
        <n v="143892"/>
        <n v="121632"/>
        <n v="136651"/>
        <n v="101128"/>
        <n v="48108"/>
        <n v="82495"/>
        <n v="112806"/>
        <n v="123185"/>
        <n v="106533"/>
        <n v="129025"/>
        <n v="86830"/>
        <n v="104640"/>
        <n v="82509"/>
        <n v="96406"/>
        <n v="124220"/>
        <n v="69519"/>
        <n v="79649"/>
        <n v="64524"/>
        <n v="126493"/>
        <n v="63885"/>
        <n v="74369"/>
        <n v="131132"/>
        <n v="125402"/>
        <n v="60676"/>
        <n v="94093"/>
        <n v="77764"/>
        <n v="80799"/>
        <n v="109414"/>
        <n v="135296"/>
        <n v="123095"/>
        <n v="142082"/>
        <n v="102307"/>
        <n v="112062"/>
        <n v="125432"/>
        <n v="61923"/>
        <n v="147449"/>
        <n v="131739"/>
        <n v="134926"/>
        <n v="108388"/>
        <n v="73391"/>
        <n v="83664"/>
        <n v="97384"/>
        <n v="61027"/>
        <n v="65464"/>
        <n v="64485"/>
        <n v="49456"/>
        <n v="104795"/>
        <n v="65554"/>
        <n v="76922"/>
        <n v="43409"/>
        <n v="99327"/>
        <n v="121400"/>
        <n v="66639"/>
        <n v="130110"/>
        <n v="93627"/>
        <n v="113424"/>
        <n v="49692"/>
        <n v="119037"/>
        <n v="108840"/>
        <n v="84200"/>
        <n v="123063"/>
        <n v="87415"/>
        <n v="48074"/>
        <n v="45549"/>
        <n v="59963"/>
        <n v="121456"/>
        <n v="126362"/>
        <n v="131607"/>
        <n v="82265"/>
        <n v="46061"/>
        <n v="88226"/>
        <n v="58810"/>
        <n v="90006"/>
        <n v="143502"/>
        <n v="52800"/>
        <n v="146192"/>
        <n v="138959"/>
        <n v="137228"/>
        <n v="105476"/>
        <n v="99460"/>
        <n v="87767"/>
        <n v="58054"/>
        <n v="105319"/>
        <n v="132789"/>
        <n v="75397"/>
        <n v="43233"/>
        <n v="141205"/>
        <n v="120020"/>
        <n v="55068"/>
        <n v="95727"/>
        <n v="120610"/>
        <n v="100453"/>
        <n v="134135"/>
        <n v="55832"/>
        <n v="138464"/>
        <n v="116242"/>
        <n v="43682"/>
        <n v="122298"/>
        <n v="53383"/>
        <n v="88160"/>
        <n v="123332"/>
        <n v="53666"/>
        <n v="88817"/>
        <n v="121198"/>
        <n v="140695"/>
        <n v="64642"/>
        <n v="71830"/>
        <n v="133067"/>
        <n v="40234"/>
        <n v="87616"/>
        <n v="39221"/>
        <n v="41410"/>
        <n v="110055"/>
        <n v="91413"/>
        <n v="31051"/>
        <n v="140529"/>
        <n v="105301"/>
        <n v="106918"/>
        <n v="108116"/>
        <n v="86563"/>
        <n v="127859"/>
        <n v="74757"/>
        <n v="107475"/>
        <n v="81257"/>
        <n v="125500"/>
        <n v="30307"/>
        <n v="86889"/>
        <n v="98895"/>
        <n v="125184"/>
        <n v="65944"/>
        <n v="129555"/>
        <n v="68134"/>
        <n v="57323"/>
        <n v="146205"/>
        <n v="101762"/>
        <n v="117225"/>
        <n v="126507"/>
        <n v="55954"/>
        <n v="85021"/>
        <n v="119959"/>
        <n v="125927"/>
        <n v="109866"/>
        <n v="100427"/>
        <n v="34992"/>
        <n v="31961"/>
        <n v="42497"/>
        <n v="147551"/>
        <n v="62551"/>
        <n v="106384"/>
        <n v="85755"/>
        <n v="43255"/>
        <n v="34567"/>
        <n v="78847"/>
        <n v="134817"/>
        <n v="78003"/>
        <n v="50389"/>
        <n v="74523"/>
        <n v="91576"/>
        <n v="73919"/>
        <n v="112103"/>
        <n v="33358"/>
        <n v="118535"/>
        <n v="137894"/>
        <n v="106524"/>
        <n v="135982"/>
        <n v="127057"/>
        <n v="35698"/>
        <n v="96809"/>
        <n v="123079"/>
        <n v="85805"/>
        <n v="61349"/>
        <n v="106777"/>
        <n v="80248"/>
        <n v="105033"/>
        <n v="137411"/>
        <n v="128239"/>
        <n v="74041"/>
        <n v="61954"/>
        <n v="38002"/>
        <n v="99783"/>
        <n v="137524"/>
        <n v="117234"/>
        <n v="49738"/>
        <n v="40703"/>
        <n v="143776"/>
        <n v="79422"/>
        <n v="113106"/>
        <n v="91899"/>
        <n v="42392"/>
        <n v="74724"/>
        <n v="62299"/>
        <n v="45641"/>
        <n v="109534"/>
        <n v="36305"/>
        <n v="128262"/>
        <n v="48782"/>
        <n v="108257"/>
        <n v="135299"/>
        <n v="107963"/>
        <n v="142086"/>
        <n v="50566"/>
        <n v="97766"/>
        <n v="36511"/>
        <n v="144816"/>
        <n v="137765"/>
        <n v="148360"/>
        <n v="56177"/>
        <n v="34765"/>
        <n v="50354"/>
        <n v="53929"/>
        <n v="58820"/>
        <n v="141576"/>
        <n v="59523"/>
        <n v="101088"/>
        <n v="96163"/>
        <n v="107525"/>
        <n v="43780"/>
        <n v="36589"/>
        <n v="64812"/>
        <n v="123664"/>
        <n v="75939"/>
        <n v="81493"/>
        <n v="134188"/>
        <n v="123326"/>
        <n v="70953"/>
        <n v="95785"/>
        <n v="49309"/>
        <n v="84195"/>
        <n v="145662"/>
        <n v="55901"/>
        <n v="53576"/>
        <n v="61508"/>
        <n v="104711"/>
        <n v="55464"/>
        <n v="90281"/>
        <n v="46260"/>
        <n v="65440"/>
        <n v="125082"/>
        <n v="135583"/>
        <n v="86683"/>
        <n v="71430"/>
        <n v="31987"/>
        <n v="144778"/>
        <n v="55105"/>
        <n v="108484"/>
        <n v="148747"/>
        <n v="43026"/>
        <n v="98309"/>
        <n v="75927"/>
        <n v="105414"/>
        <n v="87535"/>
        <n v="72946"/>
        <n v="86561"/>
        <n v="40377"/>
        <n v="83592"/>
        <n v="37347"/>
        <n v="63776"/>
        <n v="33783"/>
        <n v="85798"/>
        <n v="34298"/>
        <n v="100204"/>
        <n v="116207"/>
        <n v="130356"/>
        <n v="85161"/>
        <n v="90652"/>
        <n v="64484"/>
        <n v="128614"/>
        <n v="142695"/>
        <n v="50922"/>
        <n v="64028"/>
        <n v="141461"/>
        <n v="50316"/>
        <n v="106996"/>
        <n v="46968"/>
        <n v="60266"/>
        <n v="125745"/>
        <n v="54000"/>
        <n v="44011"/>
        <n v="32866"/>
        <n v="142669"/>
        <n v="35898"/>
        <n v="48395"/>
        <n v="69019"/>
        <n v="133243"/>
        <n v="34006"/>
        <n v="64393"/>
        <n v="40956"/>
        <n v="80042"/>
        <n v="126199"/>
        <n v="36078"/>
        <n v="59631"/>
        <n v="125676"/>
        <n v="92901"/>
        <n v="137227"/>
        <n v="99497"/>
        <n v="124813"/>
        <n v="147192"/>
        <n v="71574"/>
        <n v="148494"/>
        <n v="61417"/>
        <n v="118020"/>
        <n v="113639"/>
        <n v="95006"/>
        <n v="124881"/>
        <n v="141862"/>
        <n v="69454"/>
        <n v="31587"/>
        <n v="138107"/>
        <n v="145584"/>
        <n v="84710"/>
        <n v="116567"/>
        <n v="121748"/>
        <n v="105886"/>
        <n v="48816"/>
        <n v="115824"/>
        <n v="59432"/>
        <n v="139758"/>
        <n v="78617"/>
        <n v="102373"/>
        <n v="64217"/>
        <n v="35454"/>
        <n v="104960"/>
        <n v="132421"/>
        <n v="137173"/>
        <n v="73618"/>
        <n v="113948"/>
        <n v="92671"/>
        <n v="77111"/>
        <n v="69613"/>
        <n v="115678"/>
        <n v="132928"/>
        <n v="89993"/>
        <n v="38848"/>
        <n v="144853"/>
        <n v="108672"/>
      </sharedItems>
    </cacheField>
    <cacheField name="Home Ownership" numFmtId="0">
      <sharedItems/>
    </cacheField>
    <cacheField name="DTI" numFmtId="2">
      <sharedItems containsSemiMixedTypes="0" containsString="0" containsNumber="1" minValue="0.1" maxValue="0.5"/>
    </cacheField>
    <cacheField name="LTV" numFmtId="2">
      <sharedItems containsSemiMixedTypes="0" containsString="0" containsNumber="1" minValue="0.5" maxValue="0.95"/>
    </cacheField>
    <cacheField name="Total Payments Received" numFmtId="2">
      <sharedItems containsSemiMixedTypes="0" containsString="0" containsNumber="1" minValue="0" maxValue="49533.55"/>
    </cacheField>
    <cacheField name="Recovery Amount" numFmtId="2">
      <sharedItems containsSemiMixedTypes="0" containsString="0" containsNumber="1" minValue="0" maxValue="17357.919999999998"/>
    </cacheField>
    <cacheField name="Asset value " numFmtId="0">
      <sharedItems containsSemiMixedTypes="0" containsString="0" containsNumber="1" minValue="1237.2340425531916" maxValue="79050"/>
    </cacheField>
    <cacheField name="Month on book" numFmtId="0">
      <sharedItems containsSemiMixedTypes="0" containsString="0" containsNumber="1" containsInteger="1" minValue="26" maxValue="62"/>
    </cacheField>
    <cacheField name="Profit/Loss" numFmtId="2">
      <sharedItems containsSemiMixedTypes="0" containsString="0" containsNumber="1" minValue="-38873" maxValue="9683.5500000000029"/>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 name="Quarters (Issue Date)" numFmtId="0" databaseField="0">
      <fieldGroup base="1">
        <rangePr groupBy="quarters" startDate="2021-01-01T00:00:00" endDate="2023-12-31T00:00:00"/>
        <groupItems count="6">
          <s v="&lt;01-01-2021"/>
          <s v="Qtr1"/>
          <s v="Qtr2"/>
          <s v="Qtr3"/>
          <s v="Qtr4"/>
          <s v="&gt;31-12-2023"/>
        </groupItems>
      </fieldGroup>
    </cacheField>
    <cacheField name="Years (Issue Date)" numFmtId="0" databaseField="0">
      <fieldGroup base="1">
        <rangePr groupBy="years" startDate="2021-01-01T00:00:00" endDate="2023-12-31T00:00:00"/>
        <groupItems count="5">
          <s v="&lt;01-01-2021"/>
          <s v="2021"/>
          <s v="2022"/>
          <s v="2023"/>
          <s v="&gt;31-12-2023"/>
        </groupItems>
      </fieldGroup>
    </cacheField>
  </cacheFields>
  <extLst>
    <ext xmlns:x14="http://schemas.microsoft.com/office/spreadsheetml/2009/9/main" uri="{725AE2AE-9491-48be-B2B4-4EB974FC3084}">
      <x14:pivotCacheDefinition pivotCacheId="1652894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0001"/>
    <x v="0"/>
    <s v="B0001"/>
    <x v="0"/>
    <x v="0"/>
    <n v="10.1"/>
    <n v="60"/>
    <x v="0"/>
    <x v="0"/>
    <x v="0"/>
    <x v="0"/>
    <s v="OWN"/>
    <n v="0.24"/>
    <n v="0.82"/>
    <n v="25521.18"/>
    <n v="0"/>
    <n v="28268.292682926833"/>
    <n v="34"/>
    <n v="2341.1800000000003"/>
  </r>
  <r>
    <s v="L0002"/>
    <x v="1"/>
    <s v="B0002"/>
    <x v="1"/>
    <x v="1"/>
    <n v="20.6"/>
    <n v="36"/>
    <x v="1"/>
    <x v="1"/>
    <x v="1"/>
    <x v="1"/>
    <s v="MORTGAGE"/>
    <n v="0.47"/>
    <n v="0.59"/>
    <n v="9222.59"/>
    <n v="0"/>
    <n v="55755.932203389835"/>
    <n v="28"/>
    <n v="-23673.41"/>
  </r>
  <r>
    <s v="L0003"/>
    <x v="2"/>
    <s v="B0003"/>
    <x v="1"/>
    <x v="2"/>
    <n v="21.5"/>
    <n v="36"/>
    <x v="1"/>
    <x v="0"/>
    <x v="2"/>
    <x v="2"/>
    <s v="RENT"/>
    <n v="0.33"/>
    <n v="0.7"/>
    <n v="2689.37"/>
    <n v="0"/>
    <n v="19821.428571428572"/>
    <n v="58"/>
    <n v="-11185.630000000001"/>
  </r>
  <r>
    <s v="L0004"/>
    <x v="3"/>
    <s v="B0004"/>
    <x v="0"/>
    <x v="3"/>
    <n v="14.9"/>
    <n v="60"/>
    <x v="0"/>
    <x v="2"/>
    <x v="3"/>
    <x v="3"/>
    <s v="OWN"/>
    <n v="0.17"/>
    <n v="0.87"/>
    <n v="3012.68"/>
    <n v="0"/>
    <n v="3013.7931034482758"/>
    <n v="47"/>
    <n v="390.67999999999984"/>
  </r>
  <r>
    <s v="L0005"/>
    <x v="4"/>
    <s v="B0005"/>
    <x v="2"/>
    <x v="4"/>
    <n v="12.7"/>
    <n v="36"/>
    <x v="0"/>
    <x v="3"/>
    <x v="3"/>
    <x v="4"/>
    <s v="OWN"/>
    <n v="0.16"/>
    <n v="0.79"/>
    <n v="19976.080000000002"/>
    <n v="0"/>
    <n v="22436.708860759492"/>
    <n v="51"/>
    <n v="2251.0800000000017"/>
  </r>
  <r>
    <s v="L0006"/>
    <x v="5"/>
    <s v="B0006"/>
    <x v="2"/>
    <x v="5"/>
    <n v="14"/>
    <n v="36"/>
    <x v="0"/>
    <x v="0"/>
    <x v="3"/>
    <x v="5"/>
    <s v="RENT"/>
    <n v="0.33"/>
    <n v="0.69"/>
    <n v="18976.439999999999"/>
    <n v="0"/>
    <n v="24124.637681159424"/>
    <n v="59"/>
    <n v="2330.4399999999987"/>
  </r>
  <r>
    <s v="L0007"/>
    <x v="6"/>
    <s v="B0007"/>
    <x v="3"/>
    <x v="6"/>
    <n v="9.5"/>
    <n v="60"/>
    <x v="0"/>
    <x v="1"/>
    <x v="4"/>
    <x v="6"/>
    <s v="OWN"/>
    <n v="0.4"/>
    <n v="0.8"/>
    <n v="19741.759999999998"/>
    <n v="0"/>
    <n v="22536.25"/>
    <n v="33"/>
    <n v="1712.7599999999984"/>
  </r>
  <r>
    <s v="L0008"/>
    <x v="7"/>
    <s v="B0008"/>
    <x v="4"/>
    <x v="7"/>
    <n v="22.8"/>
    <n v="36"/>
    <x v="1"/>
    <x v="0"/>
    <x v="0"/>
    <x v="7"/>
    <s v="RENT"/>
    <n v="0.41"/>
    <n v="0.55000000000000004"/>
    <n v="3813.31"/>
    <n v="0"/>
    <n v="55276.363636363632"/>
    <n v="58"/>
    <n v="-26588.69"/>
  </r>
  <r>
    <s v="L0009"/>
    <x v="8"/>
    <s v="B0009"/>
    <x v="5"/>
    <x v="8"/>
    <n v="14"/>
    <n v="36"/>
    <x v="1"/>
    <x v="1"/>
    <x v="2"/>
    <x v="8"/>
    <s v="RENT"/>
    <n v="0.21"/>
    <n v="0.68"/>
    <n v="885.74"/>
    <n v="0"/>
    <n v="7739.7058823529405"/>
    <n v="37"/>
    <n v="-4377.26"/>
  </r>
  <r>
    <s v="L0010"/>
    <x v="9"/>
    <s v="B0010"/>
    <x v="6"/>
    <x v="9"/>
    <n v="22.6"/>
    <n v="60"/>
    <x v="1"/>
    <x v="4"/>
    <x v="0"/>
    <x v="9"/>
    <s v="RENT"/>
    <n v="0.18"/>
    <n v="0.86"/>
    <n v="2113.92"/>
    <n v="0"/>
    <n v="37194.186046511626"/>
    <n v="51"/>
    <n v="-29873.08"/>
  </r>
  <r>
    <s v="L0011"/>
    <x v="10"/>
    <s v="B0011"/>
    <x v="1"/>
    <x v="10"/>
    <n v="7.1"/>
    <n v="60"/>
    <x v="2"/>
    <x v="1"/>
    <x v="4"/>
    <x v="10"/>
    <s v="RENT"/>
    <n v="0.11"/>
    <n v="0.6"/>
    <n v="0"/>
    <n v="0"/>
    <n v="16076.666666666668"/>
    <n v="36"/>
    <n v="-9646"/>
  </r>
  <r>
    <s v="L0012"/>
    <x v="11"/>
    <s v="B0012"/>
    <x v="3"/>
    <x v="11"/>
    <n v="24.8"/>
    <n v="60"/>
    <x v="0"/>
    <x v="4"/>
    <x v="2"/>
    <x v="11"/>
    <s v="RENT"/>
    <n v="0.37"/>
    <n v="0.57999999999999996"/>
    <n v="35604.19"/>
    <n v="0"/>
    <n v="49187.931034482761"/>
    <n v="49"/>
    <n v="7075.1900000000023"/>
  </r>
  <r>
    <s v="L0013"/>
    <x v="12"/>
    <s v="B0013"/>
    <x v="7"/>
    <x v="12"/>
    <n v="13.9"/>
    <n v="36"/>
    <x v="0"/>
    <x v="0"/>
    <x v="2"/>
    <x v="12"/>
    <s v="MORTGAGE"/>
    <n v="0.13"/>
    <n v="0.93"/>
    <n v="14424.3"/>
    <n v="0"/>
    <n v="13617.204301075268"/>
    <n v="31"/>
    <n v="1760.2999999999993"/>
  </r>
  <r>
    <s v="L0014"/>
    <x v="13"/>
    <s v="B0014"/>
    <x v="3"/>
    <x v="13"/>
    <n v="6"/>
    <n v="60"/>
    <x v="0"/>
    <x v="4"/>
    <x v="1"/>
    <x v="13"/>
    <s v="RENT"/>
    <n v="0.27"/>
    <n v="0.59"/>
    <n v="38941.22"/>
    <n v="0"/>
    <n v="62266.101694915254"/>
    <n v="53"/>
    <n v="2204.2200000000012"/>
  </r>
  <r>
    <s v="L0015"/>
    <x v="14"/>
    <s v="B0015"/>
    <x v="7"/>
    <x v="14"/>
    <n v="5.8"/>
    <n v="60"/>
    <x v="1"/>
    <x v="0"/>
    <x v="0"/>
    <x v="14"/>
    <s v="MORTGAGE"/>
    <n v="0.34"/>
    <n v="0.62"/>
    <n v="13503.79"/>
    <n v="0"/>
    <n v="59348.387096774197"/>
    <n v="47"/>
    <n v="-23292.21"/>
  </r>
  <r>
    <s v="L0016"/>
    <x v="15"/>
    <s v="B0016"/>
    <x v="8"/>
    <x v="15"/>
    <n v="19.899999999999999"/>
    <n v="36"/>
    <x v="0"/>
    <x v="5"/>
    <x v="0"/>
    <x v="15"/>
    <s v="RENT"/>
    <n v="0.47"/>
    <n v="0.94"/>
    <n v="30007.37"/>
    <n v="0"/>
    <n v="26624.468085106386"/>
    <n v="61"/>
    <n v="4980.369999999999"/>
  </r>
  <r>
    <s v="L0017"/>
    <x v="16"/>
    <s v="B0017"/>
    <x v="9"/>
    <x v="16"/>
    <n v="18.2"/>
    <n v="60"/>
    <x v="1"/>
    <x v="0"/>
    <x v="1"/>
    <x v="16"/>
    <s v="OWN"/>
    <n v="0.22"/>
    <n v="0.83"/>
    <n v="8244.83"/>
    <n v="0"/>
    <n v="36593.975903614461"/>
    <n v="54"/>
    <n v="-22128.17"/>
  </r>
  <r>
    <s v="L0018"/>
    <x v="17"/>
    <s v="B0018"/>
    <x v="0"/>
    <x v="17"/>
    <n v="21"/>
    <n v="60"/>
    <x v="0"/>
    <x v="5"/>
    <x v="3"/>
    <x v="17"/>
    <s v="MORTGAGE"/>
    <n v="0.2"/>
    <n v="0.81"/>
    <n v="45250.37"/>
    <n v="0"/>
    <n v="46169.135802469136"/>
    <n v="38"/>
    <n v="7853.3700000000026"/>
  </r>
  <r>
    <s v="L0019"/>
    <x v="18"/>
    <s v="B0019"/>
    <x v="9"/>
    <x v="18"/>
    <n v="7.1"/>
    <n v="60"/>
    <x v="3"/>
    <x v="2"/>
    <x v="4"/>
    <x v="18"/>
    <s v="OWN"/>
    <n v="0.36"/>
    <n v="0.88"/>
    <n v="2771.85"/>
    <n v="10111.4"/>
    <n v="24555.68181818182"/>
    <n v="34"/>
    <n v="-8725.75"/>
  </r>
  <r>
    <s v="L0020"/>
    <x v="19"/>
    <s v="B0020"/>
    <x v="3"/>
    <x v="19"/>
    <n v="5.7"/>
    <n v="60"/>
    <x v="3"/>
    <x v="6"/>
    <x v="0"/>
    <x v="19"/>
    <s v="RENT"/>
    <n v="0.35"/>
    <n v="0.55000000000000004"/>
    <n v="5580.8"/>
    <n v="9880.57"/>
    <n v="66972.727272727265"/>
    <n v="46"/>
    <n v="-21373.63"/>
  </r>
  <r>
    <s v="L0021"/>
    <x v="20"/>
    <s v="B0021"/>
    <x v="9"/>
    <x v="20"/>
    <n v="15.2"/>
    <n v="36"/>
    <x v="0"/>
    <x v="2"/>
    <x v="1"/>
    <x v="20"/>
    <s v="RENT"/>
    <n v="0.23"/>
    <n v="0.82"/>
    <n v="45744.77"/>
    <n v="0"/>
    <n v="48425.609756097561"/>
    <n v="27"/>
    <n v="6035.7699999999968"/>
  </r>
  <r>
    <s v="L0022"/>
    <x v="21"/>
    <s v="B0022"/>
    <x v="6"/>
    <x v="21"/>
    <n v="12.8"/>
    <n v="60"/>
    <x v="0"/>
    <x v="2"/>
    <x v="2"/>
    <x v="21"/>
    <s v="OWN"/>
    <n v="0.47"/>
    <n v="0.73"/>
    <n v="22842"/>
    <n v="0"/>
    <n v="27739.726027397261"/>
    <n v="45"/>
    <n v="2592"/>
  </r>
  <r>
    <s v="L0023"/>
    <x v="22"/>
    <s v="B0023"/>
    <x v="8"/>
    <x v="22"/>
    <n v="14.2"/>
    <n v="60"/>
    <x v="1"/>
    <x v="0"/>
    <x v="1"/>
    <x v="22"/>
    <s v="RENT"/>
    <n v="0.44"/>
    <n v="0.87"/>
    <n v="2131.63"/>
    <n v="0"/>
    <n v="25485.057471264368"/>
    <n v="39"/>
    <n v="-20040.37"/>
  </r>
  <r>
    <s v="L0024"/>
    <x v="23"/>
    <s v="B0024"/>
    <x v="5"/>
    <x v="23"/>
    <n v="24.8"/>
    <n v="36"/>
    <x v="0"/>
    <x v="0"/>
    <x v="3"/>
    <x v="23"/>
    <s v="OWN"/>
    <n v="0.19"/>
    <n v="0.73"/>
    <n v="15668.64"/>
    <n v="0"/>
    <n v="17198.630136986303"/>
    <n v="30"/>
    <n v="3113.6399999999994"/>
  </r>
  <r>
    <s v="L0025"/>
    <x v="24"/>
    <s v="B0025"/>
    <x v="8"/>
    <x v="24"/>
    <n v="24.4"/>
    <n v="60"/>
    <x v="0"/>
    <x v="5"/>
    <x v="4"/>
    <x v="24"/>
    <s v="RENT"/>
    <n v="0.2"/>
    <n v="0.78"/>
    <n v="28455.26"/>
    <n v="0"/>
    <n v="29325.641025641024"/>
    <n v="56"/>
    <n v="5581.2599999999984"/>
  </r>
  <r>
    <s v="L0026"/>
    <x v="25"/>
    <s v="B0026"/>
    <x v="1"/>
    <x v="25"/>
    <n v="23.8"/>
    <n v="36"/>
    <x v="1"/>
    <x v="2"/>
    <x v="3"/>
    <x v="25"/>
    <s v="RENT"/>
    <n v="0.3"/>
    <n v="0.71"/>
    <n v="4585.71"/>
    <n v="0"/>
    <n v="19832.394366197183"/>
    <n v="31"/>
    <n v="-9495.2900000000009"/>
  </r>
  <r>
    <s v="L0027"/>
    <x v="26"/>
    <s v="B0027"/>
    <x v="6"/>
    <x v="26"/>
    <n v="20.7"/>
    <n v="36"/>
    <x v="0"/>
    <x v="3"/>
    <x v="2"/>
    <x v="26"/>
    <s v="MORTGAGE"/>
    <n v="0.41"/>
    <n v="0.72"/>
    <n v="30251.040000000001"/>
    <n v="0"/>
    <n v="34809.722222222226"/>
    <n v="40"/>
    <n v="5188.0400000000009"/>
  </r>
  <r>
    <s v="L0028"/>
    <x v="25"/>
    <s v="B0028"/>
    <x v="9"/>
    <x v="27"/>
    <n v="12.1"/>
    <n v="36"/>
    <x v="1"/>
    <x v="0"/>
    <x v="2"/>
    <x v="27"/>
    <s v="OWN"/>
    <n v="0.12"/>
    <n v="0.85"/>
    <n v="722.43"/>
    <n v="0"/>
    <n v="9198.8235294117658"/>
    <n v="31"/>
    <n v="-7096.57"/>
  </r>
  <r>
    <s v="L0029"/>
    <x v="27"/>
    <s v="B0029"/>
    <x v="5"/>
    <x v="28"/>
    <n v="13.2"/>
    <n v="60"/>
    <x v="1"/>
    <x v="4"/>
    <x v="2"/>
    <x v="28"/>
    <s v="RENT"/>
    <n v="0.38"/>
    <n v="0.78"/>
    <n v="10402.379999999999"/>
    <n v="0"/>
    <n v="34246.153846153844"/>
    <n v="44"/>
    <n v="-16309.62"/>
  </r>
  <r>
    <s v="L0030"/>
    <x v="28"/>
    <s v="B0030"/>
    <x v="9"/>
    <x v="29"/>
    <n v="16"/>
    <n v="36"/>
    <x v="0"/>
    <x v="0"/>
    <x v="2"/>
    <x v="29"/>
    <s v="OWN"/>
    <n v="0.36"/>
    <n v="0.78"/>
    <n v="29883.919999999998"/>
    <n v="0"/>
    <n v="33028.205128205125"/>
    <n v="35"/>
    <n v="4121.9199999999983"/>
  </r>
  <r>
    <s v="L0031"/>
    <x v="29"/>
    <s v="B0031"/>
    <x v="4"/>
    <x v="30"/>
    <n v="21.6"/>
    <n v="36"/>
    <x v="0"/>
    <x v="1"/>
    <x v="1"/>
    <x v="30"/>
    <s v="MORTGAGE"/>
    <n v="0.19"/>
    <n v="0.7"/>
    <n v="14647.94"/>
    <n v="0"/>
    <n v="17208.571428571431"/>
    <n v="41"/>
    <n v="2601.9400000000005"/>
  </r>
  <r>
    <s v="L0032"/>
    <x v="30"/>
    <s v="B0032"/>
    <x v="4"/>
    <x v="31"/>
    <n v="6.4"/>
    <n v="36"/>
    <x v="0"/>
    <x v="1"/>
    <x v="2"/>
    <x v="31"/>
    <s v="OWN"/>
    <n v="0.37"/>
    <n v="0.74"/>
    <n v="34540.629999999997"/>
    <n v="0"/>
    <n v="43868.91891891892"/>
    <n v="61"/>
    <n v="2077.6299999999974"/>
  </r>
  <r>
    <s v="L0033"/>
    <x v="31"/>
    <s v="B0033"/>
    <x v="2"/>
    <x v="32"/>
    <n v="13.5"/>
    <n v="60"/>
    <x v="1"/>
    <x v="0"/>
    <x v="2"/>
    <x v="32"/>
    <s v="MORTGAGE"/>
    <n v="0.48"/>
    <n v="0.84"/>
    <n v="1763.22"/>
    <n v="0"/>
    <n v="35439.285714285717"/>
    <n v="34"/>
    <n v="-28005.78"/>
  </r>
  <r>
    <s v="L0034"/>
    <x v="32"/>
    <s v="B0034"/>
    <x v="8"/>
    <x v="33"/>
    <n v="6.7"/>
    <n v="60"/>
    <x v="0"/>
    <x v="5"/>
    <x v="1"/>
    <x v="33"/>
    <s v="OWN"/>
    <n v="0.12"/>
    <n v="0.87"/>
    <n v="25768.05"/>
    <n v="0"/>
    <n v="27758.620689655174"/>
    <n v="57"/>
    <n v="1618.0499999999993"/>
  </r>
  <r>
    <s v="L0035"/>
    <x v="33"/>
    <s v="B0035"/>
    <x v="5"/>
    <x v="34"/>
    <n v="15.3"/>
    <n v="60"/>
    <x v="3"/>
    <x v="1"/>
    <x v="2"/>
    <x v="34"/>
    <s v="OWN"/>
    <n v="0.23"/>
    <n v="0.81"/>
    <n v="648.73"/>
    <n v="938.22"/>
    <n v="4581.4814814814808"/>
    <n v="49"/>
    <n v="-2124.0500000000002"/>
  </r>
  <r>
    <s v="L0036"/>
    <x v="34"/>
    <s v="B0036"/>
    <x v="4"/>
    <x v="35"/>
    <n v="23"/>
    <n v="60"/>
    <x v="0"/>
    <x v="1"/>
    <x v="3"/>
    <x v="35"/>
    <s v="MORTGAGE"/>
    <n v="0.28000000000000003"/>
    <n v="0.92"/>
    <n v="7199.19"/>
    <n v="0"/>
    <n v="6361.95652173913"/>
    <n v="42"/>
    <n v="1346.1899999999996"/>
  </r>
  <r>
    <s v="L0037"/>
    <x v="35"/>
    <s v="B0037"/>
    <x v="2"/>
    <x v="36"/>
    <n v="20.6"/>
    <n v="60"/>
    <x v="0"/>
    <x v="0"/>
    <x v="3"/>
    <x v="36"/>
    <s v="RENT"/>
    <n v="0.46"/>
    <n v="0.87"/>
    <n v="36272.86"/>
    <n v="0"/>
    <n v="34571.264367816089"/>
    <n v="52"/>
    <n v="6195.8600000000006"/>
  </r>
  <r>
    <s v="L0038"/>
    <x v="36"/>
    <s v="B0038"/>
    <x v="6"/>
    <x v="37"/>
    <n v="9.6"/>
    <n v="60"/>
    <x v="0"/>
    <x v="2"/>
    <x v="0"/>
    <x v="37"/>
    <s v="RENT"/>
    <n v="0.48"/>
    <n v="0.75"/>
    <n v="27249.85"/>
    <n v="0"/>
    <n v="33150.666666666664"/>
    <n v="62"/>
    <n v="2386.8499999999985"/>
  </r>
  <r>
    <s v="L0039"/>
    <x v="37"/>
    <s v="B0039"/>
    <x v="5"/>
    <x v="38"/>
    <n v="24.5"/>
    <n v="60"/>
    <x v="0"/>
    <x v="5"/>
    <x v="3"/>
    <x v="38"/>
    <s v="RENT"/>
    <n v="0.28000000000000003"/>
    <n v="0.8"/>
    <n v="28376.04"/>
    <n v="0"/>
    <n v="28490"/>
    <n v="54"/>
    <n v="5584.0400000000009"/>
  </r>
  <r>
    <s v="L0040"/>
    <x v="38"/>
    <s v="B0040"/>
    <x v="2"/>
    <x v="39"/>
    <n v="18.3"/>
    <n v="36"/>
    <x v="0"/>
    <x v="6"/>
    <x v="4"/>
    <x v="39"/>
    <s v="OWN"/>
    <n v="0.4"/>
    <n v="0.92"/>
    <n v="11761.39"/>
    <n v="0"/>
    <n v="10806.521739130434"/>
    <n v="37"/>
    <n v="1819.3899999999994"/>
  </r>
  <r>
    <s v="L0041"/>
    <x v="39"/>
    <s v="B0041"/>
    <x v="0"/>
    <x v="40"/>
    <n v="5.2"/>
    <n v="36"/>
    <x v="1"/>
    <x v="6"/>
    <x v="4"/>
    <x v="40"/>
    <s v="OWN"/>
    <n v="0.31"/>
    <n v="0.78"/>
    <n v="1245.1099999999999"/>
    <n v="0"/>
    <n v="3541.0256410256411"/>
    <n v="44"/>
    <n v="-1516.89"/>
  </r>
  <r>
    <s v="L0042"/>
    <x v="40"/>
    <s v="B0042"/>
    <x v="5"/>
    <x v="41"/>
    <n v="10.1"/>
    <n v="36"/>
    <x v="0"/>
    <x v="0"/>
    <x v="4"/>
    <x v="41"/>
    <s v="RENT"/>
    <n v="0.32"/>
    <n v="0.87"/>
    <n v="36318.69"/>
    <n v="0"/>
    <n v="37916.091954022988"/>
    <n v="33"/>
    <n v="3331.6900000000023"/>
  </r>
  <r>
    <s v="L0043"/>
    <x v="41"/>
    <s v="B0043"/>
    <x v="3"/>
    <x v="42"/>
    <n v="10.199999999999999"/>
    <n v="36"/>
    <x v="0"/>
    <x v="0"/>
    <x v="1"/>
    <x v="42"/>
    <s v="OWN"/>
    <n v="0.21"/>
    <n v="0.81"/>
    <n v="18568.7"/>
    <n v="0"/>
    <n v="20802.469135802468"/>
    <n v="59"/>
    <n v="1718.7000000000007"/>
  </r>
  <r>
    <s v="L0044"/>
    <x v="12"/>
    <s v="B0044"/>
    <x v="2"/>
    <x v="43"/>
    <n v="6.4"/>
    <n v="60"/>
    <x v="0"/>
    <x v="1"/>
    <x v="3"/>
    <x v="43"/>
    <s v="OWN"/>
    <n v="0.19"/>
    <n v="0.75"/>
    <n v="13951.17"/>
    <n v="0"/>
    <n v="17482.666666666668"/>
    <n v="31"/>
    <n v="839.17000000000007"/>
  </r>
  <r>
    <s v="L0045"/>
    <x v="42"/>
    <s v="B0045"/>
    <x v="9"/>
    <x v="44"/>
    <n v="24.2"/>
    <n v="36"/>
    <x v="1"/>
    <x v="0"/>
    <x v="4"/>
    <x v="44"/>
    <s v="RENT"/>
    <n v="0.22"/>
    <n v="0.61"/>
    <n v="9355.1299999999992"/>
    <n v="0"/>
    <n v="41078.688524590165"/>
    <n v="45"/>
    <n v="-15702.87"/>
  </r>
  <r>
    <s v="L0046"/>
    <x v="43"/>
    <s v="B0046"/>
    <x v="3"/>
    <x v="45"/>
    <n v="14.6"/>
    <n v="36"/>
    <x v="1"/>
    <x v="6"/>
    <x v="0"/>
    <x v="45"/>
    <s v="MORTGAGE"/>
    <n v="0.32"/>
    <n v="0.69"/>
    <n v="3304.32"/>
    <n v="0"/>
    <n v="57811.594202898552"/>
    <n v="37"/>
    <n v="-36585.68"/>
  </r>
  <r>
    <s v="L0047"/>
    <x v="44"/>
    <s v="B0047"/>
    <x v="0"/>
    <x v="46"/>
    <n v="22.9"/>
    <n v="36"/>
    <x v="0"/>
    <x v="1"/>
    <x v="1"/>
    <x v="46"/>
    <s v="OWN"/>
    <n v="0.11"/>
    <n v="0.94"/>
    <n v="1820.15"/>
    <n v="0"/>
    <n v="1575.5319148936171"/>
    <n v="61"/>
    <n v="339.15000000000009"/>
  </r>
  <r>
    <s v="L0048"/>
    <x v="45"/>
    <s v="B0048"/>
    <x v="4"/>
    <x v="47"/>
    <n v="11.4"/>
    <n v="36"/>
    <x v="1"/>
    <x v="6"/>
    <x v="0"/>
    <x v="47"/>
    <s v="OWN"/>
    <n v="0.46"/>
    <n v="0.8"/>
    <n v="14230.09"/>
    <n v="0"/>
    <n v="42401.25"/>
    <n v="55"/>
    <n v="-19690.91"/>
  </r>
  <r>
    <s v="L0049"/>
    <x v="46"/>
    <s v="B0049"/>
    <x v="7"/>
    <x v="48"/>
    <n v="7.5"/>
    <n v="60"/>
    <x v="0"/>
    <x v="4"/>
    <x v="3"/>
    <x v="48"/>
    <s v="OWN"/>
    <n v="0.16"/>
    <n v="0.75"/>
    <n v="2713.3"/>
    <n v="0"/>
    <n v="3365.3333333333335"/>
    <n v="28"/>
    <n v="189.30000000000018"/>
  </r>
  <r>
    <s v="L0050"/>
    <x v="47"/>
    <s v="B0050"/>
    <x v="2"/>
    <x v="49"/>
    <n v="14.5"/>
    <n v="60"/>
    <x v="1"/>
    <x v="4"/>
    <x v="2"/>
    <x v="49"/>
    <s v="OWN"/>
    <n v="0.19"/>
    <n v="0.92"/>
    <n v="9756.7199999999993"/>
    <n v="0"/>
    <n v="39008.695652173912"/>
    <n v="29"/>
    <n v="-26131.279999999999"/>
  </r>
  <r>
    <s v="L0051"/>
    <x v="48"/>
    <s v="B0051"/>
    <x v="6"/>
    <x v="50"/>
    <n v="7.3"/>
    <n v="60"/>
    <x v="0"/>
    <x v="1"/>
    <x v="0"/>
    <x v="50"/>
    <s v="MORTGAGE"/>
    <n v="0.31"/>
    <n v="0.76"/>
    <n v="17219.5"/>
    <n v="0"/>
    <n v="21115.78947368421"/>
    <n v="43"/>
    <n v="1171.5"/>
  </r>
  <r>
    <s v="L0052"/>
    <x v="49"/>
    <s v="B0052"/>
    <x v="2"/>
    <x v="51"/>
    <n v="14.7"/>
    <n v="36"/>
    <x v="0"/>
    <x v="0"/>
    <x v="2"/>
    <x v="51"/>
    <s v="RENT"/>
    <n v="0.38"/>
    <n v="0.74"/>
    <n v="41419.32"/>
    <n v="0"/>
    <n v="48798.648648648646"/>
    <n v="39"/>
    <n v="5308.32"/>
  </r>
  <r>
    <s v="L0053"/>
    <x v="50"/>
    <s v="B0053"/>
    <x v="7"/>
    <x v="52"/>
    <n v="23.4"/>
    <n v="60"/>
    <x v="3"/>
    <x v="1"/>
    <x v="1"/>
    <x v="52"/>
    <s v="OWN"/>
    <n v="0.14000000000000001"/>
    <n v="0.84"/>
    <n v="13773.37"/>
    <n v="12116.05"/>
    <n v="46314.285714285717"/>
    <n v="49"/>
    <n v="-13014.580000000002"/>
  </r>
  <r>
    <s v="L0054"/>
    <x v="51"/>
    <s v="B0054"/>
    <x v="0"/>
    <x v="53"/>
    <n v="15.4"/>
    <n v="36"/>
    <x v="0"/>
    <x v="6"/>
    <x v="0"/>
    <x v="53"/>
    <s v="RENT"/>
    <n v="0.23"/>
    <n v="0.82"/>
    <n v="40399.230000000003"/>
    <n v="0"/>
    <n v="42692.682926829271"/>
    <n v="38"/>
    <n v="5391.2300000000032"/>
  </r>
  <r>
    <s v="L0055"/>
    <x v="52"/>
    <s v="B0055"/>
    <x v="0"/>
    <x v="54"/>
    <n v="17.3"/>
    <n v="60"/>
    <x v="1"/>
    <x v="4"/>
    <x v="0"/>
    <x v="54"/>
    <s v="OWN"/>
    <n v="0.49"/>
    <n v="0.59"/>
    <n v="339.55"/>
    <n v="0"/>
    <n v="1796.6101694915255"/>
    <n v="57"/>
    <n v="-720.45"/>
  </r>
  <r>
    <s v="L0056"/>
    <x v="53"/>
    <s v="B0056"/>
    <x v="3"/>
    <x v="55"/>
    <n v="8.1"/>
    <n v="60"/>
    <x v="0"/>
    <x v="1"/>
    <x v="1"/>
    <x v="55"/>
    <s v="MORTGAGE"/>
    <n v="0.2"/>
    <n v="0.71"/>
    <n v="10950.53"/>
    <n v="0"/>
    <n v="14267.605633802817"/>
    <n v="55"/>
    <n v="820.53000000000065"/>
  </r>
  <r>
    <s v="L0057"/>
    <x v="54"/>
    <s v="B0057"/>
    <x v="5"/>
    <x v="56"/>
    <n v="5.9"/>
    <n v="60"/>
    <x v="1"/>
    <x v="0"/>
    <x v="1"/>
    <x v="56"/>
    <s v="RENT"/>
    <n v="0.23"/>
    <n v="0.71"/>
    <n v="6787.88"/>
    <n v="0"/>
    <n v="26792.957746478874"/>
    <n v="29"/>
    <n v="-12235.119999999999"/>
  </r>
  <r>
    <s v="L0058"/>
    <x v="55"/>
    <s v="B0058"/>
    <x v="6"/>
    <x v="57"/>
    <n v="7.2"/>
    <n v="60"/>
    <x v="3"/>
    <x v="4"/>
    <x v="4"/>
    <x v="57"/>
    <s v="MORTGAGE"/>
    <n v="0.43"/>
    <n v="0.67"/>
    <n v="5712.02"/>
    <n v="3379.84"/>
    <n v="21417.910447761195"/>
    <n v="53"/>
    <n v="-5258.1399999999994"/>
  </r>
  <r>
    <s v="L0059"/>
    <x v="56"/>
    <s v="B0059"/>
    <x v="3"/>
    <x v="58"/>
    <n v="17"/>
    <n v="60"/>
    <x v="0"/>
    <x v="3"/>
    <x v="3"/>
    <x v="58"/>
    <s v="OWN"/>
    <n v="0.12"/>
    <n v="0.73"/>
    <n v="29664.18"/>
    <n v="0"/>
    <n v="34731.506849315068"/>
    <n v="35"/>
    <n v="4310.18"/>
  </r>
  <r>
    <s v="L0060"/>
    <x v="57"/>
    <s v="B0060"/>
    <x v="6"/>
    <x v="59"/>
    <n v="6.9"/>
    <n v="36"/>
    <x v="1"/>
    <x v="3"/>
    <x v="0"/>
    <x v="59"/>
    <s v="MORTGAGE"/>
    <n v="0.28999999999999998"/>
    <n v="0.69"/>
    <n v="4504.3900000000003"/>
    <n v="0"/>
    <n v="42239.130434782615"/>
    <n v="47"/>
    <n v="-24640.61"/>
  </r>
  <r>
    <s v="L0061"/>
    <x v="58"/>
    <s v="B0061"/>
    <x v="6"/>
    <x v="60"/>
    <n v="12.5"/>
    <n v="60"/>
    <x v="1"/>
    <x v="5"/>
    <x v="0"/>
    <x v="60"/>
    <s v="MORTGAGE"/>
    <n v="0.25"/>
    <n v="0.59"/>
    <n v="11583.76"/>
    <n v="0"/>
    <n v="59355.932203389835"/>
    <n v="29"/>
    <n v="-23436.239999999998"/>
  </r>
  <r>
    <s v="L0062"/>
    <x v="59"/>
    <s v="B0062"/>
    <x v="7"/>
    <x v="61"/>
    <n v="16"/>
    <n v="36"/>
    <x v="1"/>
    <x v="2"/>
    <x v="1"/>
    <x v="61"/>
    <s v="OWN"/>
    <n v="0.23"/>
    <n v="0.69"/>
    <n v="5550.98"/>
    <n v="0"/>
    <n v="31285.507246376816"/>
    <n v="52"/>
    <n v="-16036.02"/>
  </r>
  <r>
    <s v="L0063"/>
    <x v="60"/>
    <s v="B0063"/>
    <x v="3"/>
    <x v="62"/>
    <n v="12.8"/>
    <n v="36"/>
    <x v="0"/>
    <x v="5"/>
    <x v="1"/>
    <x v="62"/>
    <s v="OWN"/>
    <n v="0.21"/>
    <n v="0.53"/>
    <n v="12013.2"/>
    <n v="0"/>
    <n v="20094.33962264151"/>
    <n v="38"/>
    <n v="1363.2000000000007"/>
  </r>
  <r>
    <s v="L0064"/>
    <x v="61"/>
    <s v="B0064"/>
    <x v="6"/>
    <x v="63"/>
    <n v="8.3000000000000007"/>
    <n v="36"/>
    <x v="3"/>
    <x v="4"/>
    <x v="3"/>
    <x v="63"/>
    <s v="RENT"/>
    <n v="0.14000000000000001"/>
    <n v="0.76"/>
    <n v="2341.0500000000002"/>
    <n v="2519.27"/>
    <n v="27543.42105263158"/>
    <n v="51"/>
    <n v="-16072.68"/>
  </r>
  <r>
    <s v="L0065"/>
    <x v="62"/>
    <s v="B0065"/>
    <x v="1"/>
    <x v="64"/>
    <n v="10.5"/>
    <n v="36"/>
    <x v="0"/>
    <x v="4"/>
    <x v="1"/>
    <x v="64"/>
    <s v="OWN"/>
    <n v="0.23"/>
    <n v="0.88"/>
    <n v="23847"/>
    <n v="0"/>
    <n v="24523.863636363636"/>
    <n v="33"/>
    <n v="2266"/>
  </r>
  <r>
    <s v="L0066"/>
    <x v="63"/>
    <s v="B0066"/>
    <x v="7"/>
    <x v="65"/>
    <n v="23.6"/>
    <n v="36"/>
    <x v="0"/>
    <x v="2"/>
    <x v="2"/>
    <x v="65"/>
    <s v="RENT"/>
    <n v="0.12"/>
    <n v="0.83"/>
    <n v="30149.75"/>
    <n v="0"/>
    <n v="29389.156626506025"/>
    <n v="27"/>
    <n v="5756.75"/>
  </r>
  <r>
    <s v="L0067"/>
    <x v="64"/>
    <s v="B0067"/>
    <x v="0"/>
    <x v="66"/>
    <n v="18.5"/>
    <n v="60"/>
    <x v="3"/>
    <x v="0"/>
    <x v="2"/>
    <x v="66"/>
    <s v="MORTGAGE"/>
    <n v="0.41"/>
    <n v="0.66"/>
    <n v="2509.5100000000002"/>
    <n v="11762.86"/>
    <n v="36440.909090909088"/>
    <n v="36"/>
    <n v="-9778.6299999999992"/>
  </r>
  <r>
    <s v="L0068"/>
    <x v="65"/>
    <s v="B0068"/>
    <x v="7"/>
    <x v="67"/>
    <n v="14.9"/>
    <n v="60"/>
    <x v="1"/>
    <x v="5"/>
    <x v="2"/>
    <x v="67"/>
    <s v="MORTGAGE"/>
    <n v="0.26"/>
    <n v="0.54"/>
    <n v="2820.6"/>
    <n v="0"/>
    <n v="50392.592592592591"/>
    <n v="55"/>
    <n v="-24391.4"/>
  </r>
  <r>
    <s v="L0069"/>
    <x v="66"/>
    <s v="B0069"/>
    <x v="9"/>
    <x v="68"/>
    <n v="5.3"/>
    <n v="60"/>
    <x v="0"/>
    <x v="5"/>
    <x v="2"/>
    <x v="68"/>
    <s v="RENT"/>
    <n v="0.28000000000000003"/>
    <n v="0.59"/>
    <n v="5359.77"/>
    <n v="0"/>
    <n v="8627.1186440677975"/>
    <n v="37"/>
    <n v="269.77000000000044"/>
  </r>
  <r>
    <s v="L0070"/>
    <x v="67"/>
    <s v="B0070"/>
    <x v="9"/>
    <x v="69"/>
    <n v="24.8"/>
    <n v="60"/>
    <x v="0"/>
    <x v="1"/>
    <x v="3"/>
    <x v="69"/>
    <s v="OWN"/>
    <n v="0.46"/>
    <n v="0.75"/>
    <n v="9934.08"/>
    <n v="0"/>
    <n v="10613.333333333334"/>
    <n v="56"/>
    <n v="1974.08"/>
  </r>
  <r>
    <s v="L0071"/>
    <x v="68"/>
    <s v="B0071"/>
    <x v="6"/>
    <x v="70"/>
    <n v="18.399999999999999"/>
    <n v="36"/>
    <x v="0"/>
    <x v="5"/>
    <x v="0"/>
    <x v="70"/>
    <s v="OWN"/>
    <n v="0.36"/>
    <n v="0.59"/>
    <n v="43538.05"/>
    <n v="0"/>
    <n v="62325.423728813563"/>
    <n v="50"/>
    <n v="6766.0500000000029"/>
  </r>
  <r>
    <s v="L0072"/>
    <x v="69"/>
    <s v="B0072"/>
    <x v="3"/>
    <x v="71"/>
    <n v="11.3"/>
    <n v="60"/>
    <x v="0"/>
    <x v="4"/>
    <x v="2"/>
    <x v="71"/>
    <s v="MORTGAGE"/>
    <n v="0.1"/>
    <n v="0.74"/>
    <n v="25064.76"/>
    <n v="0"/>
    <n v="30432.432432432433"/>
    <n v="46"/>
    <n v="2544.7599999999984"/>
  </r>
  <r>
    <s v="L0073"/>
    <x v="70"/>
    <s v="B0073"/>
    <x v="0"/>
    <x v="72"/>
    <n v="22.6"/>
    <n v="60"/>
    <x v="0"/>
    <x v="0"/>
    <x v="1"/>
    <x v="72"/>
    <s v="RENT"/>
    <n v="0.48"/>
    <n v="0.6"/>
    <n v="45862.21"/>
    <n v="0"/>
    <n v="62346.666666666672"/>
    <n v="27"/>
    <n v="8454.2099999999991"/>
  </r>
  <r>
    <s v="L0074"/>
    <x v="71"/>
    <s v="B0074"/>
    <x v="7"/>
    <x v="73"/>
    <n v="10.199999999999999"/>
    <n v="36"/>
    <x v="1"/>
    <x v="5"/>
    <x v="2"/>
    <x v="73"/>
    <s v="MORTGAGE"/>
    <n v="0.19"/>
    <n v="0.88"/>
    <n v="10081.43"/>
    <n v="0"/>
    <n v="33488.63636363636"/>
    <n v="62"/>
    <n v="-19388.57"/>
  </r>
  <r>
    <s v="L0075"/>
    <x v="72"/>
    <s v="B0075"/>
    <x v="3"/>
    <x v="74"/>
    <n v="15.9"/>
    <n v="36"/>
    <x v="0"/>
    <x v="1"/>
    <x v="3"/>
    <x v="74"/>
    <s v="MORTGAGE"/>
    <n v="0.14000000000000001"/>
    <n v="0.68"/>
    <n v="24908.07"/>
    <n v="0"/>
    <n v="31604.411764705881"/>
    <n v="60"/>
    <n v="3417.0699999999997"/>
  </r>
  <r>
    <s v="L0076"/>
    <x v="73"/>
    <s v="B0076"/>
    <x v="7"/>
    <x v="75"/>
    <n v="17.7"/>
    <n v="60"/>
    <x v="1"/>
    <x v="5"/>
    <x v="1"/>
    <x v="75"/>
    <s v="OWN"/>
    <n v="0.41"/>
    <n v="0.61"/>
    <n v="714.53"/>
    <n v="0"/>
    <n v="3837.7049180327872"/>
    <n v="45"/>
    <n v="-1626.47"/>
  </r>
  <r>
    <s v="L0077"/>
    <x v="74"/>
    <s v="B0077"/>
    <x v="7"/>
    <x v="76"/>
    <n v="9.4"/>
    <n v="60"/>
    <x v="1"/>
    <x v="1"/>
    <x v="2"/>
    <x v="76"/>
    <s v="RENT"/>
    <n v="0.3"/>
    <n v="0.87"/>
    <n v="7712.63"/>
    <n v="0"/>
    <n v="29644.827586206895"/>
    <n v="41"/>
    <n v="-18078.37"/>
  </r>
  <r>
    <s v="L0078"/>
    <x v="75"/>
    <s v="B0078"/>
    <x v="1"/>
    <x v="77"/>
    <n v="24.6"/>
    <n v="36"/>
    <x v="0"/>
    <x v="0"/>
    <x v="0"/>
    <x v="77"/>
    <s v="MORTGAGE"/>
    <n v="0.27"/>
    <n v="0.65"/>
    <n v="1667.15"/>
    <n v="0"/>
    <n v="2058.4615384615386"/>
    <n v="26"/>
    <n v="329.15000000000009"/>
  </r>
  <r>
    <s v="L0079"/>
    <x v="76"/>
    <s v="B0079"/>
    <x v="9"/>
    <x v="78"/>
    <n v="20"/>
    <n v="60"/>
    <x v="0"/>
    <x v="2"/>
    <x v="1"/>
    <x v="78"/>
    <s v="OWN"/>
    <n v="0.2"/>
    <n v="0.55000000000000004"/>
    <n v="8274"/>
    <n v="0"/>
    <n v="12536.363636363636"/>
    <n v="43"/>
    <n v="1379"/>
  </r>
  <r>
    <s v="L0080"/>
    <x v="77"/>
    <s v="B0080"/>
    <x v="7"/>
    <x v="79"/>
    <n v="16.2"/>
    <n v="60"/>
    <x v="0"/>
    <x v="5"/>
    <x v="1"/>
    <x v="79"/>
    <s v="MORTGAGE"/>
    <n v="0.32"/>
    <n v="0.76"/>
    <n v="15401.15"/>
    <n v="0"/>
    <n v="17439.473684210527"/>
    <n v="49"/>
    <n v="2147.1499999999996"/>
  </r>
  <r>
    <s v="L0081"/>
    <x v="78"/>
    <s v="B0081"/>
    <x v="1"/>
    <x v="80"/>
    <n v="8.6"/>
    <n v="60"/>
    <x v="0"/>
    <x v="0"/>
    <x v="0"/>
    <x v="80"/>
    <s v="MORTGAGE"/>
    <n v="0.21"/>
    <n v="0.76"/>
    <n v="13405.58"/>
    <n v="0"/>
    <n v="16242.105263157895"/>
    <n v="48"/>
    <n v="1061.58"/>
  </r>
  <r>
    <s v="L0082"/>
    <x v="79"/>
    <s v="B0082"/>
    <x v="9"/>
    <x v="81"/>
    <n v="6.1"/>
    <n v="60"/>
    <x v="1"/>
    <x v="5"/>
    <x v="1"/>
    <x v="81"/>
    <s v="OWN"/>
    <n v="0.46"/>
    <n v="0.82"/>
    <n v="176.92"/>
    <n v="0"/>
    <n v="3353.6585365853662"/>
    <n v="53"/>
    <n v="-2573.08"/>
  </r>
  <r>
    <s v="L0083"/>
    <x v="80"/>
    <s v="B0083"/>
    <x v="1"/>
    <x v="82"/>
    <n v="11.4"/>
    <n v="36"/>
    <x v="0"/>
    <x v="6"/>
    <x v="2"/>
    <x v="82"/>
    <s v="OWN"/>
    <n v="0.19"/>
    <n v="0.61"/>
    <n v="3810.99"/>
    <n v="0"/>
    <n v="5608.1967213114758"/>
    <n v="50"/>
    <n v="389.98999999999978"/>
  </r>
  <r>
    <s v="L0084"/>
    <x v="81"/>
    <s v="B0084"/>
    <x v="3"/>
    <x v="83"/>
    <n v="20.100000000000001"/>
    <n v="36"/>
    <x v="1"/>
    <x v="2"/>
    <x v="1"/>
    <x v="83"/>
    <s v="RENT"/>
    <n v="0.45"/>
    <n v="0.7"/>
    <n v="1650.44"/>
    <n v="0"/>
    <n v="9027.1428571428569"/>
    <n v="55"/>
    <n v="-4668.5599999999995"/>
  </r>
  <r>
    <s v="L0085"/>
    <x v="82"/>
    <s v="B0085"/>
    <x v="5"/>
    <x v="84"/>
    <n v="10.4"/>
    <n v="36"/>
    <x v="0"/>
    <x v="4"/>
    <x v="2"/>
    <x v="84"/>
    <s v="MORTGAGE"/>
    <n v="0.32"/>
    <n v="0.63"/>
    <n v="18653.18"/>
    <n v="0"/>
    <n v="26819.047619047618"/>
    <n v="29"/>
    <n v="1757.1800000000003"/>
  </r>
  <r>
    <s v="L0086"/>
    <x v="83"/>
    <s v="B0086"/>
    <x v="9"/>
    <x v="85"/>
    <n v="15.8"/>
    <n v="60"/>
    <x v="0"/>
    <x v="1"/>
    <x v="0"/>
    <x v="85"/>
    <s v="RENT"/>
    <n v="0.43"/>
    <n v="0.54"/>
    <n v="14959.04"/>
    <n v="0"/>
    <n v="23922.222222222219"/>
    <n v="61"/>
    <n v="2041.0400000000009"/>
  </r>
  <r>
    <s v="L0087"/>
    <x v="84"/>
    <s v="B0087"/>
    <x v="4"/>
    <x v="86"/>
    <n v="19.600000000000001"/>
    <n v="60"/>
    <x v="0"/>
    <x v="0"/>
    <x v="4"/>
    <x v="86"/>
    <s v="OWN"/>
    <n v="0.39"/>
    <n v="0.89"/>
    <n v="31172.54"/>
    <n v="0"/>
    <n v="29285.393258426964"/>
    <n v="28"/>
    <n v="5108.5400000000009"/>
  </r>
  <r>
    <s v="L0088"/>
    <x v="85"/>
    <s v="B0088"/>
    <x v="5"/>
    <x v="87"/>
    <n v="7.2"/>
    <n v="60"/>
    <x v="0"/>
    <x v="0"/>
    <x v="0"/>
    <x v="87"/>
    <s v="OWN"/>
    <n v="0.38"/>
    <n v="0.83"/>
    <n v="31018.32"/>
    <n v="0"/>
    <n v="34861.445783132534"/>
    <n v="58"/>
    <n v="2083.3199999999997"/>
  </r>
  <r>
    <s v="L0089"/>
    <x v="86"/>
    <s v="B0089"/>
    <x v="3"/>
    <x v="88"/>
    <n v="18.7"/>
    <n v="60"/>
    <x v="0"/>
    <x v="5"/>
    <x v="2"/>
    <x v="88"/>
    <s v="MORTGAGE"/>
    <n v="0.23"/>
    <n v="0.64"/>
    <n v="45866.87"/>
    <n v="0"/>
    <n v="60376.5625"/>
    <n v="55"/>
    <n v="7225.8700000000026"/>
  </r>
  <r>
    <s v="L0090"/>
    <x v="87"/>
    <s v="B0090"/>
    <x v="7"/>
    <x v="89"/>
    <n v="6.8"/>
    <n v="60"/>
    <x v="0"/>
    <x v="1"/>
    <x v="3"/>
    <x v="89"/>
    <s v="RENT"/>
    <n v="0.19"/>
    <n v="0.77"/>
    <n v="32799.35"/>
    <n v="0"/>
    <n v="39884.415584415583"/>
    <n v="37"/>
    <n v="2088.3499999999985"/>
  </r>
  <r>
    <s v="L0091"/>
    <x v="88"/>
    <s v="B0091"/>
    <x v="0"/>
    <x v="90"/>
    <n v="24.3"/>
    <n v="36"/>
    <x v="3"/>
    <x v="6"/>
    <x v="0"/>
    <x v="90"/>
    <s v="RENT"/>
    <n v="0.18"/>
    <n v="0.59"/>
    <n v="2191.11"/>
    <n v="417.13"/>
    <n v="9840.6779661016953"/>
    <n v="32"/>
    <n v="-3197.7599999999998"/>
  </r>
  <r>
    <s v="L0092"/>
    <x v="89"/>
    <s v="B0092"/>
    <x v="3"/>
    <x v="91"/>
    <n v="14.8"/>
    <n v="60"/>
    <x v="1"/>
    <x v="4"/>
    <x v="3"/>
    <x v="91"/>
    <s v="MORTGAGE"/>
    <n v="0.44"/>
    <n v="0.9"/>
    <n v="3017.58"/>
    <n v="0"/>
    <n v="14646.666666666666"/>
    <n v="27"/>
    <n v="-10164.42"/>
  </r>
  <r>
    <s v="L0093"/>
    <x v="90"/>
    <s v="B0093"/>
    <x v="1"/>
    <x v="92"/>
    <n v="8"/>
    <n v="60"/>
    <x v="0"/>
    <x v="0"/>
    <x v="3"/>
    <x v="92"/>
    <s v="MORTGAGE"/>
    <n v="0.43"/>
    <n v="0.55000000000000004"/>
    <n v="25160.76"/>
    <n v="0"/>
    <n v="42358.181818181816"/>
    <n v="27"/>
    <n v="1863.7599999999984"/>
  </r>
  <r>
    <s v="L0094"/>
    <x v="91"/>
    <s v="B0094"/>
    <x v="1"/>
    <x v="93"/>
    <n v="11.8"/>
    <n v="36"/>
    <x v="0"/>
    <x v="5"/>
    <x v="2"/>
    <x v="93"/>
    <s v="RENT"/>
    <n v="0.28000000000000003"/>
    <n v="0.5"/>
    <n v="22964.84"/>
    <n v="0"/>
    <n v="41082"/>
    <n v="46"/>
    <n v="2423.84"/>
  </r>
  <r>
    <s v="L0095"/>
    <x v="92"/>
    <s v="B0095"/>
    <x v="1"/>
    <x v="94"/>
    <n v="13.3"/>
    <n v="60"/>
    <x v="0"/>
    <x v="0"/>
    <x v="2"/>
    <x v="94"/>
    <s v="OWN"/>
    <n v="0.15"/>
    <n v="0.73"/>
    <n v="33900.49"/>
    <n v="0"/>
    <n v="40987.67123287671"/>
    <n v="49"/>
    <n v="3979.489999999998"/>
  </r>
  <r>
    <s v="L0096"/>
    <x v="93"/>
    <s v="B0096"/>
    <x v="1"/>
    <x v="95"/>
    <n v="20.2"/>
    <n v="36"/>
    <x v="0"/>
    <x v="0"/>
    <x v="4"/>
    <x v="95"/>
    <s v="OWN"/>
    <n v="0.25"/>
    <n v="0.76"/>
    <n v="21364.35"/>
    <n v="0"/>
    <n v="23386.842105263157"/>
    <n v="36"/>
    <n v="3590.3499999999985"/>
  </r>
  <r>
    <s v="L0097"/>
    <x v="94"/>
    <s v="B0097"/>
    <x v="3"/>
    <x v="96"/>
    <n v="19.899999999999999"/>
    <n v="36"/>
    <x v="0"/>
    <x v="4"/>
    <x v="1"/>
    <x v="96"/>
    <s v="MORTGAGE"/>
    <n v="0.35"/>
    <n v="0.76"/>
    <n v="45799.4"/>
    <n v="0"/>
    <n v="50260.526315789473"/>
    <n v="59"/>
    <n v="7601.4000000000015"/>
  </r>
  <r>
    <s v="L0098"/>
    <x v="95"/>
    <s v="B0098"/>
    <x v="0"/>
    <x v="97"/>
    <n v="17.2"/>
    <n v="36"/>
    <x v="0"/>
    <x v="4"/>
    <x v="0"/>
    <x v="97"/>
    <s v="RENT"/>
    <n v="0.28000000000000003"/>
    <n v="0.52"/>
    <n v="11509.04"/>
    <n v="0"/>
    <n v="18884.615384615383"/>
    <n v="40"/>
    <n v="1689.0400000000009"/>
  </r>
  <r>
    <s v="L0099"/>
    <x v="96"/>
    <s v="B0099"/>
    <x v="2"/>
    <x v="98"/>
    <n v="7.1"/>
    <n v="36"/>
    <x v="0"/>
    <x v="4"/>
    <x v="2"/>
    <x v="98"/>
    <s v="RENT"/>
    <n v="0.41"/>
    <n v="0.64"/>
    <n v="26849.97"/>
    <n v="0"/>
    <n v="39171.875"/>
    <n v="38"/>
    <n v="1779.9700000000012"/>
  </r>
  <r>
    <s v="L0100"/>
    <x v="97"/>
    <s v="B0100"/>
    <x v="1"/>
    <x v="99"/>
    <n v="8"/>
    <n v="36"/>
    <x v="0"/>
    <x v="5"/>
    <x v="0"/>
    <x v="99"/>
    <s v="RENT"/>
    <n v="0.5"/>
    <n v="0.72"/>
    <n v="5650.56"/>
    <n v="0"/>
    <n v="7266.666666666667"/>
    <n v="31"/>
    <n v="418.5600000000004"/>
  </r>
  <r>
    <s v="L0101"/>
    <x v="98"/>
    <s v="B0101"/>
    <x v="2"/>
    <x v="100"/>
    <n v="6.9"/>
    <n v="60"/>
    <x v="0"/>
    <x v="0"/>
    <x v="3"/>
    <x v="100"/>
    <s v="OWN"/>
    <n v="0.18"/>
    <n v="0.6"/>
    <n v="12958.42"/>
    <n v="0"/>
    <n v="20203.333333333336"/>
    <n v="42"/>
    <n v="836.42000000000007"/>
  </r>
  <r>
    <s v="L0102"/>
    <x v="99"/>
    <s v="B0102"/>
    <x v="0"/>
    <x v="101"/>
    <n v="16.5"/>
    <n v="36"/>
    <x v="0"/>
    <x v="0"/>
    <x v="1"/>
    <x v="101"/>
    <s v="OWN"/>
    <n v="0.28000000000000003"/>
    <n v="0.89"/>
    <n v="18666.8"/>
    <n v="0"/>
    <n v="18003.370786516854"/>
    <n v="41"/>
    <n v="2643.7999999999993"/>
  </r>
  <r>
    <s v="L0103"/>
    <x v="100"/>
    <s v="B0103"/>
    <x v="0"/>
    <x v="102"/>
    <n v="22.5"/>
    <n v="36"/>
    <x v="1"/>
    <x v="1"/>
    <x v="4"/>
    <x v="102"/>
    <s v="RENT"/>
    <n v="0.27"/>
    <n v="0.54"/>
    <n v="2983.25"/>
    <n v="0"/>
    <n v="16679.629629629628"/>
    <n v="28"/>
    <n v="-6023.75"/>
  </r>
  <r>
    <s v="L0104"/>
    <x v="91"/>
    <s v="B0104"/>
    <x v="5"/>
    <x v="103"/>
    <n v="13.7"/>
    <n v="60"/>
    <x v="0"/>
    <x v="0"/>
    <x v="0"/>
    <x v="103"/>
    <s v="RENT"/>
    <n v="0.22"/>
    <n v="0.72"/>
    <n v="21494.98"/>
    <n v="0"/>
    <n v="26256.944444444445"/>
    <n v="46"/>
    <n v="2589.9799999999996"/>
  </r>
  <r>
    <s v="L0105"/>
    <x v="101"/>
    <s v="B0105"/>
    <x v="9"/>
    <x v="104"/>
    <n v="8.1999999999999993"/>
    <n v="60"/>
    <x v="0"/>
    <x v="1"/>
    <x v="1"/>
    <x v="104"/>
    <s v="MORTGAGE"/>
    <n v="0.18"/>
    <n v="0.81"/>
    <n v="32890.639999999999"/>
    <n v="0"/>
    <n v="37528.395061728392"/>
    <n v="37"/>
    <n v="2492.6399999999994"/>
  </r>
  <r>
    <s v="L0106"/>
    <x v="102"/>
    <s v="B0106"/>
    <x v="4"/>
    <x v="105"/>
    <n v="16.2"/>
    <n v="36"/>
    <x v="1"/>
    <x v="0"/>
    <x v="4"/>
    <x v="105"/>
    <s v="MORTGAGE"/>
    <n v="0.13"/>
    <n v="0.62"/>
    <n v="14139.59"/>
    <n v="0"/>
    <n v="56883.870967741939"/>
    <n v="49"/>
    <n v="-21128.41"/>
  </r>
  <r>
    <s v="L0107"/>
    <x v="103"/>
    <s v="B0107"/>
    <x v="6"/>
    <x v="106"/>
    <n v="21.2"/>
    <n v="60"/>
    <x v="3"/>
    <x v="4"/>
    <x v="0"/>
    <x v="106"/>
    <s v="RENT"/>
    <n v="0.45"/>
    <n v="0.78"/>
    <n v="2593.27"/>
    <n v="2439.15"/>
    <n v="9919.2307692307695"/>
    <n v="33"/>
    <n v="-2704.58"/>
  </r>
  <r>
    <s v="L0108"/>
    <x v="104"/>
    <s v="B0108"/>
    <x v="4"/>
    <x v="107"/>
    <n v="19.8"/>
    <n v="60"/>
    <x v="3"/>
    <x v="0"/>
    <x v="1"/>
    <x v="107"/>
    <s v="RENT"/>
    <n v="0.27"/>
    <n v="0.87"/>
    <n v="9479.8700000000008"/>
    <n v="13222.79"/>
    <n v="42600"/>
    <n v="36"/>
    <n v="-14359.339999999997"/>
  </r>
  <r>
    <s v="L0109"/>
    <x v="105"/>
    <s v="B0109"/>
    <x v="3"/>
    <x v="108"/>
    <n v="22.6"/>
    <n v="36"/>
    <x v="1"/>
    <x v="0"/>
    <x v="2"/>
    <x v="108"/>
    <s v="OWN"/>
    <n v="0.3"/>
    <n v="0.59"/>
    <n v="11560.44"/>
    <n v="0"/>
    <n v="44932.203389830509"/>
    <n v="49"/>
    <n v="-14949.56"/>
  </r>
  <r>
    <s v="L0110"/>
    <x v="106"/>
    <s v="B0110"/>
    <x v="6"/>
    <x v="109"/>
    <n v="10.6"/>
    <n v="36"/>
    <x v="0"/>
    <x v="5"/>
    <x v="0"/>
    <x v="109"/>
    <s v="RENT"/>
    <n v="0.47"/>
    <n v="0.91"/>
    <n v="22591.16"/>
    <n v="0"/>
    <n v="22446.153846153844"/>
    <n v="55"/>
    <n v="2165.16"/>
  </r>
  <r>
    <s v="L0111"/>
    <x v="107"/>
    <s v="B0111"/>
    <x v="0"/>
    <x v="110"/>
    <n v="8.9"/>
    <n v="60"/>
    <x v="1"/>
    <x v="2"/>
    <x v="1"/>
    <x v="110"/>
    <s v="MORTGAGE"/>
    <n v="0.41"/>
    <n v="0.75"/>
    <n v="8652.49"/>
    <n v="0"/>
    <n v="51020"/>
    <n v="28"/>
    <n v="-29612.510000000002"/>
  </r>
  <r>
    <s v="L0112"/>
    <x v="108"/>
    <s v="B0112"/>
    <x v="4"/>
    <x v="111"/>
    <n v="22.6"/>
    <n v="36"/>
    <x v="1"/>
    <x v="0"/>
    <x v="4"/>
    <x v="111"/>
    <s v="OWN"/>
    <n v="0.15"/>
    <n v="0.63"/>
    <n v="8480.84"/>
    <n v="0"/>
    <n v="29920.634920634919"/>
    <n v="33"/>
    <n v="-10369.16"/>
  </r>
  <r>
    <s v="L0113"/>
    <x v="109"/>
    <s v="B0113"/>
    <x v="8"/>
    <x v="112"/>
    <n v="18.2"/>
    <n v="36"/>
    <x v="0"/>
    <x v="4"/>
    <x v="1"/>
    <x v="112"/>
    <s v="MORTGAGE"/>
    <n v="0.33"/>
    <n v="0.69"/>
    <n v="1907.75"/>
    <n v="0"/>
    <n v="2339.130434782609"/>
    <n v="34"/>
    <n v="293.75"/>
  </r>
  <r>
    <s v="L0114"/>
    <x v="110"/>
    <s v="B0114"/>
    <x v="9"/>
    <x v="113"/>
    <n v="11.2"/>
    <n v="60"/>
    <x v="0"/>
    <x v="1"/>
    <x v="2"/>
    <x v="113"/>
    <s v="MORTGAGE"/>
    <n v="0.28000000000000003"/>
    <n v="0.64"/>
    <n v="25326.91"/>
    <n v="0"/>
    <n v="35587.5"/>
    <n v="38"/>
    <n v="2550.91"/>
  </r>
  <r>
    <s v="L0115"/>
    <x v="111"/>
    <s v="B0115"/>
    <x v="4"/>
    <x v="114"/>
    <n v="19.8"/>
    <n v="36"/>
    <x v="3"/>
    <x v="5"/>
    <x v="0"/>
    <x v="114"/>
    <s v="OWN"/>
    <n v="0.42"/>
    <n v="0.83"/>
    <n v="4314.95"/>
    <n v="11970.48"/>
    <n v="30213.253012048193"/>
    <n v="44"/>
    <n v="-8791.57"/>
  </r>
  <r>
    <s v="L0116"/>
    <x v="112"/>
    <s v="B0116"/>
    <x v="9"/>
    <x v="115"/>
    <n v="21.3"/>
    <n v="36"/>
    <x v="0"/>
    <x v="6"/>
    <x v="0"/>
    <x v="115"/>
    <s v="MORTGAGE"/>
    <n v="0.39"/>
    <n v="0.86"/>
    <n v="12583.66"/>
    <n v="0"/>
    <n v="12062.790697674418"/>
    <n v="29"/>
    <n v="2209.66"/>
  </r>
  <r>
    <s v="L0117"/>
    <x v="113"/>
    <s v="B0117"/>
    <x v="2"/>
    <x v="116"/>
    <n v="17.3"/>
    <n v="36"/>
    <x v="0"/>
    <x v="0"/>
    <x v="0"/>
    <x v="116"/>
    <s v="RENT"/>
    <n v="0.38"/>
    <n v="0.87"/>
    <n v="42738.26"/>
    <n v="0"/>
    <n v="41879.310344827587"/>
    <n v="59"/>
    <n v="6303.260000000002"/>
  </r>
  <r>
    <s v="L0118"/>
    <x v="114"/>
    <s v="B0118"/>
    <x v="3"/>
    <x v="117"/>
    <n v="18.8"/>
    <n v="36"/>
    <x v="0"/>
    <x v="2"/>
    <x v="2"/>
    <x v="117"/>
    <s v="MORTGAGE"/>
    <n v="0.24"/>
    <n v="0.94"/>
    <n v="37905.519999999997"/>
    <n v="0"/>
    <n v="33943.617021276601"/>
    <n v="46"/>
    <n v="5998.5199999999968"/>
  </r>
  <r>
    <s v="L0119"/>
    <x v="81"/>
    <s v="B0119"/>
    <x v="9"/>
    <x v="118"/>
    <n v="12.5"/>
    <n v="36"/>
    <x v="0"/>
    <x v="4"/>
    <x v="4"/>
    <x v="118"/>
    <s v="OWN"/>
    <n v="0.42"/>
    <n v="0.86"/>
    <n v="16210.12"/>
    <n v="0"/>
    <n v="16754.651162790698"/>
    <n v="55"/>
    <n v="1801.1200000000008"/>
  </r>
  <r>
    <s v="L0120"/>
    <x v="115"/>
    <s v="B0120"/>
    <x v="2"/>
    <x v="119"/>
    <n v="15.8"/>
    <n v="60"/>
    <x v="0"/>
    <x v="4"/>
    <x v="0"/>
    <x v="119"/>
    <s v="OWN"/>
    <n v="0.12"/>
    <n v="0.77"/>
    <n v="20281.21"/>
    <n v="0"/>
    <n v="22745.454545454544"/>
    <n v="38"/>
    <n v="2767.2099999999991"/>
  </r>
  <r>
    <s v="L0121"/>
    <x v="116"/>
    <s v="B0121"/>
    <x v="1"/>
    <x v="120"/>
    <n v="15.5"/>
    <n v="60"/>
    <x v="1"/>
    <x v="6"/>
    <x v="4"/>
    <x v="120"/>
    <s v="OWN"/>
    <n v="0.16"/>
    <n v="0.65"/>
    <n v="5435.42"/>
    <n v="0"/>
    <n v="47486.153846153844"/>
    <n v="44"/>
    <n v="-25430.58"/>
  </r>
  <r>
    <s v="L0122"/>
    <x v="117"/>
    <s v="B0122"/>
    <x v="2"/>
    <x v="121"/>
    <n v="22"/>
    <n v="36"/>
    <x v="1"/>
    <x v="5"/>
    <x v="1"/>
    <x v="121"/>
    <s v="MORTGAGE"/>
    <n v="0.23"/>
    <n v="0.75"/>
    <n v="294.36"/>
    <n v="0"/>
    <n v="5310.666666666667"/>
    <n v="27"/>
    <n v="-3688.64"/>
  </r>
  <r>
    <s v="L0123"/>
    <x v="118"/>
    <s v="B0123"/>
    <x v="3"/>
    <x v="122"/>
    <n v="21.8"/>
    <n v="60"/>
    <x v="0"/>
    <x v="5"/>
    <x v="4"/>
    <x v="122"/>
    <s v="RENT"/>
    <n v="0.13"/>
    <n v="0.52"/>
    <n v="39834.69"/>
    <n v="0"/>
    <n v="62894.230769230766"/>
    <n v="45"/>
    <n v="7129.6900000000023"/>
  </r>
  <r>
    <s v="L0124"/>
    <x v="119"/>
    <s v="B0124"/>
    <x v="5"/>
    <x v="123"/>
    <n v="21.7"/>
    <n v="36"/>
    <x v="3"/>
    <x v="1"/>
    <x v="4"/>
    <x v="123"/>
    <s v="OWN"/>
    <n v="0.19"/>
    <n v="0.84"/>
    <n v="7336.37"/>
    <n v="1820.32"/>
    <n v="25788.09523809524"/>
    <n v="43"/>
    <n v="-12505.31"/>
  </r>
  <r>
    <s v="L0125"/>
    <x v="120"/>
    <s v="B0125"/>
    <x v="1"/>
    <x v="124"/>
    <n v="5.2"/>
    <n v="36"/>
    <x v="0"/>
    <x v="5"/>
    <x v="0"/>
    <x v="124"/>
    <s v="RENT"/>
    <n v="0.43"/>
    <n v="0.7"/>
    <n v="25784.52"/>
    <n v="0"/>
    <n v="35014.285714285717"/>
    <n v="40"/>
    <n v="1274.5200000000004"/>
  </r>
  <r>
    <s v="L0126"/>
    <x v="121"/>
    <s v="B0126"/>
    <x v="0"/>
    <x v="125"/>
    <n v="20"/>
    <n v="36"/>
    <x v="0"/>
    <x v="0"/>
    <x v="3"/>
    <x v="125"/>
    <s v="OWN"/>
    <n v="0.48"/>
    <n v="0.51"/>
    <n v="16381.2"/>
    <n v="0"/>
    <n v="26766.666666666668"/>
    <n v="44"/>
    <n v="2730.2000000000007"/>
  </r>
  <r>
    <s v="L0127"/>
    <x v="122"/>
    <s v="B0127"/>
    <x v="7"/>
    <x v="126"/>
    <n v="20.2"/>
    <n v="36"/>
    <x v="1"/>
    <x v="1"/>
    <x v="3"/>
    <x v="126"/>
    <s v="RENT"/>
    <n v="0.22"/>
    <n v="0.53"/>
    <n v="7019.73"/>
    <n v="0"/>
    <n v="55726.415094339623"/>
    <n v="29"/>
    <n v="-22515.27"/>
  </r>
  <r>
    <s v="L0128"/>
    <x v="123"/>
    <s v="B0128"/>
    <x v="2"/>
    <x v="127"/>
    <n v="18.600000000000001"/>
    <n v="36"/>
    <x v="1"/>
    <x v="0"/>
    <x v="2"/>
    <x v="127"/>
    <s v="RENT"/>
    <n v="0.21"/>
    <n v="0.67"/>
    <n v="1169.7"/>
    <n v="0"/>
    <n v="11402.985074626866"/>
    <n v="41"/>
    <n v="-6470.3"/>
  </r>
  <r>
    <s v="L0129"/>
    <x v="124"/>
    <s v="B0129"/>
    <x v="2"/>
    <x v="128"/>
    <n v="20.100000000000001"/>
    <n v="60"/>
    <x v="1"/>
    <x v="6"/>
    <x v="2"/>
    <x v="128"/>
    <s v="RENT"/>
    <n v="0.21"/>
    <n v="0.76"/>
    <n v="2517.8000000000002"/>
    <n v="0"/>
    <n v="21469.736842105263"/>
    <n v="36"/>
    <n v="-13799.2"/>
  </r>
  <r>
    <s v="L0130"/>
    <x v="84"/>
    <s v="B0130"/>
    <x v="9"/>
    <x v="129"/>
    <n v="21.8"/>
    <n v="60"/>
    <x v="3"/>
    <x v="3"/>
    <x v="3"/>
    <x v="129"/>
    <s v="OWN"/>
    <n v="0.21"/>
    <n v="0.71"/>
    <n v="3172.28"/>
    <n v="2148.21"/>
    <n v="12061.971830985916"/>
    <n v="28"/>
    <n v="-3243.51"/>
  </r>
  <r>
    <s v="L0131"/>
    <x v="24"/>
    <s v="B0131"/>
    <x v="0"/>
    <x v="130"/>
    <n v="14.4"/>
    <n v="36"/>
    <x v="1"/>
    <x v="4"/>
    <x v="1"/>
    <x v="130"/>
    <s v="MORTGAGE"/>
    <n v="0.11"/>
    <n v="0.78"/>
    <n v="12054.06"/>
    <n v="0"/>
    <n v="36339.743589743586"/>
    <n v="56"/>
    <n v="-16290.94"/>
  </r>
  <r>
    <s v="L0132"/>
    <x v="125"/>
    <s v="B0132"/>
    <x v="4"/>
    <x v="131"/>
    <n v="15"/>
    <n v="60"/>
    <x v="3"/>
    <x v="4"/>
    <x v="0"/>
    <x v="131"/>
    <s v="MORTGAGE"/>
    <n v="0.47"/>
    <n v="0.72"/>
    <n v="7898.5"/>
    <n v="6839.85"/>
    <n v="41231.944444444445"/>
    <n v="41"/>
    <n v="-14948.65"/>
  </r>
  <r>
    <s v="L0133"/>
    <x v="126"/>
    <s v="B0133"/>
    <x v="8"/>
    <x v="132"/>
    <n v="7.5"/>
    <n v="36"/>
    <x v="0"/>
    <x v="0"/>
    <x v="0"/>
    <x v="132"/>
    <s v="MORTGAGE"/>
    <n v="0.19"/>
    <n v="0.8"/>
    <n v="15842.28"/>
    <n v="0"/>
    <n v="18421.25"/>
    <n v="41"/>
    <n v="1105.2800000000007"/>
  </r>
  <r>
    <s v="L0134"/>
    <x v="127"/>
    <s v="B0134"/>
    <x v="6"/>
    <x v="133"/>
    <n v="12.7"/>
    <n v="60"/>
    <x v="1"/>
    <x v="0"/>
    <x v="1"/>
    <x v="133"/>
    <s v="RENT"/>
    <n v="0.27"/>
    <n v="0.6"/>
    <n v="3378.2"/>
    <n v="0"/>
    <n v="17205"/>
    <n v="30"/>
    <n v="-6944.8"/>
  </r>
  <r>
    <s v="L0135"/>
    <x v="128"/>
    <s v="B0135"/>
    <x v="2"/>
    <x v="134"/>
    <n v="17.899999999999999"/>
    <n v="36"/>
    <x v="4"/>
    <x v="2"/>
    <x v="1"/>
    <x v="134"/>
    <s v="OWN"/>
    <n v="0.1"/>
    <n v="0.55000000000000004"/>
    <n v="0"/>
    <n v="0"/>
    <n v="29507.272727272724"/>
    <n v="39"/>
    <n v="-16229"/>
  </r>
  <r>
    <s v="L0136"/>
    <x v="129"/>
    <s v="B0136"/>
    <x v="4"/>
    <x v="135"/>
    <n v="20.6"/>
    <n v="60"/>
    <x v="1"/>
    <x v="0"/>
    <x v="3"/>
    <x v="135"/>
    <s v="RENT"/>
    <n v="0.44"/>
    <n v="0.77"/>
    <n v="2503.27"/>
    <n v="0"/>
    <n v="12340.25974025974"/>
    <n v="41"/>
    <n v="-6998.73"/>
  </r>
  <r>
    <s v="L0137"/>
    <x v="130"/>
    <s v="B0137"/>
    <x v="8"/>
    <x v="136"/>
    <n v="9.3000000000000007"/>
    <n v="36"/>
    <x v="0"/>
    <x v="4"/>
    <x v="2"/>
    <x v="136"/>
    <s v="OWN"/>
    <n v="0.39"/>
    <n v="0.72"/>
    <n v="1688.68"/>
    <n v="0"/>
    <n v="2145.8333333333335"/>
    <n v="52"/>
    <n v="143.68000000000006"/>
  </r>
  <r>
    <s v="L0138"/>
    <x v="95"/>
    <s v="B0138"/>
    <x v="6"/>
    <x v="137"/>
    <n v="7.8"/>
    <n v="36"/>
    <x v="0"/>
    <x v="6"/>
    <x v="1"/>
    <x v="137"/>
    <s v="RENT"/>
    <n v="0.48"/>
    <n v="0.51"/>
    <n v="41086.89"/>
    <n v="0"/>
    <n v="74733.333333333328"/>
    <n v="40"/>
    <n v="2972.8899999999994"/>
  </r>
  <r>
    <s v="L0139"/>
    <x v="131"/>
    <s v="B0139"/>
    <x v="7"/>
    <x v="138"/>
    <n v="18.3"/>
    <n v="60"/>
    <x v="1"/>
    <x v="2"/>
    <x v="2"/>
    <x v="138"/>
    <s v="OWN"/>
    <n v="0.41"/>
    <n v="0.67"/>
    <n v="6884.79"/>
    <n v="0"/>
    <n v="45417.910447761191"/>
    <n v="40"/>
    <n v="-23545.21"/>
  </r>
  <r>
    <s v="L0140"/>
    <x v="132"/>
    <s v="B0140"/>
    <x v="9"/>
    <x v="139"/>
    <n v="5"/>
    <n v="60"/>
    <x v="0"/>
    <x v="5"/>
    <x v="4"/>
    <x v="139"/>
    <s v="OWN"/>
    <n v="0.23"/>
    <n v="0.55000000000000004"/>
    <n v="11545.8"/>
    <n v="0"/>
    <n v="19992.727272727272"/>
    <n v="48"/>
    <n v="549.79999999999927"/>
  </r>
  <r>
    <s v="L0141"/>
    <x v="111"/>
    <s v="B0141"/>
    <x v="4"/>
    <x v="140"/>
    <n v="8.6"/>
    <n v="36"/>
    <x v="2"/>
    <x v="5"/>
    <x v="0"/>
    <x v="140"/>
    <s v="OWN"/>
    <n v="0.2"/>
    <n v="0.74"/>
    <n v="0"/>
    <n v="0"/>
    <n v="38902.7027027027"/>
    <n v="44"/>
    <n v="-28788"/>
  </r>
  <r>
    <s v="L0142"/>
    <x v="133"/>
    <s v="B0142"/>
    <x v="9"/>
    <x v="141"/>
    <n v="5.6"/>
    <n v="60"/>
    <x v="0"/>
    <x v="1"/>
    <x v="3"/>
    <x v="141"/>
    <s v="RENT"/>
    <n v="0.38"/>
    <n v="0.68"/>
    <n v="32703.26"/>
    <n v="0"/>
    <n v="45542.647058823524"/>
    <n v="31"/>
    <n v="1734.2599999999984"/>
  </r>
  <r>
    <s v="L0143"/>
    <x v="134"/>
    <s v="B0143"/>
    <x v="6"/>
    <x v="142"/>
    <n v="8.3000000000000007"/>
    <n v="36"/>
    <x v="0"/>
    <x v="3"/>
    <x v="0"/>
    <x v="142"/>
    <s v="MORTGAGE"/>
    <n v="0.25"/>
    <n v="0.78"/>
    <n v="16157.28"/>
    <n v="0"/>
    <n v="19126.923076923078"/>
    <n v="39"/>
    <n v="1238.2800000000007"/>
  </r>
  <r>
    <s v="L0144"/>
    <x v="135"/>
    <s v="B0144"/>
    <x v="5"/>
    <x v="143"/>
    <n v="8.6"/>
    <n v="60"/>
    <x v="3"/>
    <x v="5"/>
    <x v="3"/>
    <x v="143"/>
    <s v="RENT"/>
    <n v="0.33"/>
    <n v="0.86"/>
    <n v="1802.03"/>
    <n v="798.06"/>
    <n v="5593.0232558139533"/>
    <n v="58"/>
    <n v="-2209.91"/>
  </r>
  <r>
    <s v="L0145"/>
    <x v="136"/>
    <s v="B0145"/>
    <x v="2"/>
    <x v="144"/>
    <n v="12.8"/>
    <n v="60"/>
    <x v="0"/>
    <x v="5"/>
    <x v="4"/>
    <x v="144"/>
    <s v="RENT"/>
    <n v="0.1"/>
    <n v="0.63"/>
    <n v="35629.01"/>
    <n v="0"/>
    <n v="50136.507936507936"/>
    <n v="62"/>
    <n v="4043.010000000002"/>
  </r>
  <r>
    <s v="L0146"/>
    <x v="137"/>
    <s v="B0146"/>
    <x v="1"/>
    <x v="145"/>
    <n v="13"/>
    <n v="36"/>
    <x v="0"/>
    <x v="0"/>
    <x v="0"/>
    <x v="145"/>
    <s v="OWN"/>
    <n v="0.12"/>
    <n v="0.93"/>
    <n v="19629.23"/>
    <n v="0"/>
    <n v="18678.494623655912"/>
    <n v="41"/>
    <n v="2258.2299999999996"/>
  </r>
  <r>
    <s v="L0147"/>
    <x v="138"/>
    <s v="B0147"/>
    <x v="8"/>
    <x v="146"/>
    <n v="22.5"/>
    <n v="60"/>
    <x v="1"/>
    <x v="0"/>
    <x v="4"/>
    <x v="146"/>
    <s v="OWN"/>
    <n v="0.31"/>
    <n v="0.74"/>
    <n v="3262.78"/>
    <n v="0"/>
    <n v="41390.54054054054"/>
    <n v="55"/>
    <n v="-27366.22"/>
  </r>
  <r>
    <s v="L0148"/>
    <x v="139"/>
    <s v="B0148"/>
    <x v="0"/>
    <x v="147"/>
    <n v="15.2"/>
    <n v="60"/>
    <x v="1"/>
    <x v="5"/>
    <x v="3"/>
    <x v="147"/>
    <s v="MORTGAGE"/>
    <n v="0.33"/>
    <n v="0.78"/>
    <n v="2248.61"/>
    <n v="0"/>
    <n v="12097.435897435897"/>
    <n v="34"/>
    <n v="-7187.3899999999994"/>
  </r>
  <r>
    <s v="L0149"/>
    <x v="140"/>
    <s v="B0149"/>
    <x v="3"/>
    <x v="148"/>
    <n v="19.5"/>
    <n v="36"/>
    <x v="0"/>
    <x v="2"/>
    <x v="1"/>
    <x v="148"/>
    <s v="MORTGAGE"/>
    <n v="0.4"/>
    <n v="0.81"/>
    <n v="16710.88"/>
    <n v="0"/>
    <n v="17264.197530864196"/>
    <n v="49"/>
    <n v="2726.880000000001"/>
  </r>
  <r>
    <s v="L0150"/>
    <x v="63"/>
    <s v="B0150"/>
    <x v="2"/>
    <x v="149"/>
    <n v="7.1"/>
    <n v="60"/>
    <x v="2"/>
    <x v="6"/>
    <x v="0"/>
    <x v="149"/>
    <s v="OWN"/>
    <n v="0.15"/>
    <n v="0.8"/>
    <n v="0"/>
    <n v="0"/>
    <n v="42548.75"/>
    <n v="27"/>
    <n v="-34039"/>
  </r>
  <r>
    <s v="L0151"/>
    <x v="51"/>
    <s v="B0151"/>
    <x v="1"/>
    <x v="150"/>
    <n v="9.5"/>
    <n v="36"/>
    <x v="0"/>
    <x v="3"/>
    <x v="4"/>
    <x v="150"/>
    <s v="MORTGAGE"/>
    <n v="0.31"/>
    <n v="0.73"/>
    <n v="22880.02"/>
    <n v="0"/>
    <n v="28623.287671232876"/>
    <n v="38"/>
    <n v="1985.0200000000004"/>
  </r>
  <r>
    <s v="L0152"/>
    <x v="141"/>
    <s v="B0152"/>
    <x v="3"/>
    <x v="151"/>
    <n v="19.100000000000001"/>
    <n v="36"/>
    <x v="1"/>
    <x v="5"/>
    <x v="0"/>
    <x v="151"/>
    <s v="MORTGAGE"/>
    <n v="0.18"/>
    <n v="0.69"/>
    <n v="3927.79"/>
    <n v="0"/>
    <n v="27760.869565217392"/>
    <n v="54"/>
    <n v="-15227.21"/>
  </r>
  <r>
    <s v="L0153"/>
    <x v="142"/>
    <s v="B0153"/>
    <x v="4"/>
    <x v="152"/>
    <n v="6.1"/>
    <n v="36"/>
    <x v="0"/>
    <x v="6"/>
    <x v="0"/>
    <x v="152"/>
    <s v="OWN"/>
    <n v="0.14000000000000001"/>
    <n v="0.52"/>
    <n v="12324.58"/>
    <n v="0"/>
    <n v="22338.461538461539"/>
    <n v="35"/>
    <n v="708.57999999999993"/>
  </r>
  <r>
    <s v="L0154"/>
    <x v="143"/>
    <s v="B0154"/>
    <x v="3"/>
    <x v="153"/>
    <n v="14.7"/>
    <n v="36"/>
    <x v="1"/>
    <x v="6"/>
    <x v="0"/>
    <x v="153"/>
    <s v="RENT"/>
    <n v="0.26"/>
    <n v="0.51"/>
    <n v="10453.74"/>
    <n v="0"/>
    <n v="74762.745098039217"/>
    <n v="55"/>
    <n v="-27675.260000000002"/>
  </r>
  <r>
    <s v="L0155"/>
    <x v="144"/>
    <s v="B0155"/>
    <x v="7"/>
    <x v="154"/>
    <n v="17"/>
    <n v="36"/>
    <x v="0"/>
    <x v="1"/>
    <x v="2"/>
    <x v="154"/>
    <s v="MORTGAGE"/>
    <n v="0.17"/>
    <n v="0.66"/>
    <n v="29921.58"/>
    <n v="0"/>
    <n v="38748.484848484848"/>
    <n v="58"/>
    <n v="4347.5800000000017"/>
  </r>
  <r>
    <s v="L0156"/>
    <x v="145"/>
    <s v="B0156"/>
    <x v="2"/>
    <x v="155"/>
    <n v="17"/>
    <n v="60"/>
    <x v="0"/>
    <x v="4"/>
    <x v="4"/>
    <x v="155"/>
    <s v="OWN"/>
    <n v="0.19"/>
    <n v="0.65"/>
    <n v="5183.1000000000004"/>
    <n v="0"/>
    <n v="6815.3846153846152"/>
    <n v="49"/>
    <n v="753.10000000000036"/>
  </r>
  <r>
    <s v="L0157"/>
    <x v="101"/>
    <s v="B0157"/>
    <x v="9"/>
    <x v="156"/>
    <n v="5.5"/>
    <n v="36"/>
    <x v="0"/>
    <x v="5"/>
    <x v="4"/>
    <x v="156"/>
    <s v="MORTGAGE"/>
    <n v="0.23"/>
    <n v="0.67"/>
    <n v="14428.18"/>
    <n v="0"/>
    <n v="20411.940298507463"/>
    <n v="37"/>
    <n v="752.18000000000029"/>
  </r>
  <r>
    <s v="L0158"/>
    <x v="146"/>
    <s v="B0158"/>
    <x v="5"/>
    <x v="157"/>
    <n v="11.4"/>
    <n v="36"/>
    <x v="1"/>
    <x v="6"/>
    <x v="0"/>
    <x v="157"/>
    <s v="MORTGAGE"/>
    <n v="0.2"/>
    <n v="0.56000000000000005"/>
    <n v="3024.12"/>
    <n v="0"/>
    <n v="21099.999999999996"/>
    <n v="52"/>
    <n v="-8791.880000000001"/>
  </r>
  <r>
    <s v="L0159"/>
    <x v="147"/>
    <s v="B0159"/>
    <x v="0"/>
    <x v="158"/>
    <n v="17.7"/>
    <n v="60"/>
    <x v="0"/>
    <x v="4"/>
    <x v="1"/>
    <x v="158"/>
    <s v="OWN"/>
    <n v="0.14000000000000001"/>
    <n v="0.83"/>
    <n v="39703.74"/>
    <n v="0"/>
    <n v="40642.168674698798"/>
    <n v="53"/>
    <n v="5970.739999999998"/>
  </r>
  <r>
    <s v="L0160"/>
    <x v="148"/>
    <s v="B0160"/>
    <x v="9"/>
    <x v="159"/>
    <n v="8"/>
    <n v="60"/>
    <x v="1"/>
    <x v="2"/>
    <x v="0"/>
    <x v="159"/>
    <s v="MORTGAGE"/>
    <n v="0.14000000000000001"/>
    <n v="0.89"/>
    <n v="5994.33"/>
    <n v="0"/>
    <n v="23757.303370786518"/>
    <n v="33"/>
    <n v="-15149.67"/>
  </r>
  <r>
    <s v="L0161"/>
    <x v="149"/>
    <s v="B0161"/>
    <x v="1"/>
    <x v="160"/>
    <n v="18.899999999999999"/>
    <n v="60"/>
    <x v="1"/>
    <x v="0"/>
    <x v="2"/>
    <x v="160"/>
    <s v="MORTGAGE"/>
    <n v="0.18"/>
    <n v="0.92"/>
    <n v="344.54"/>
    <n v="0"/>
    <n v="3315.2173913043475"/>
    <n v="56"/>
    <n v="-2705.46"/>
  </r>
  <r>
    <s v="L0162"/>
    <x v="150"/>
    <s v="B0162"/>
    <x v="2"/>
    <x v="161"/>
    <n v="19.899999999999999"/>
    <n v="36"/>
    <x v="0"/>
    <x v="1"/>
    <x v="3"/>
    <x v="161"/>
    <s v="MORTGAGE"/>
    <n v="0.12"/>
    <n v="0.72"/>
    <n v="41884.67"/>
    <n v="0"/>
    <n v="48518.055555555555"/>
    <n v="30"/>
    <n v="6951.6699999999983"/>
  </r>
  <r>
    <s v="L0163"/>
    <x v="151"/>
    <s v="B0163"/>
    <x v="5"/>
    <x v="162"/>
    <n v="24.6"/>
    <n v="36"/>
    <x v="0"/>
    <x v="1"/>
    <x v="2"/>
    <x v="162"/>
    <s v="RENT"/>
    <n v="0.35"/>
    <n v="0.82"/>
    <n v="32334.95"/>
    <n v="0"/>
    <n v="31647.560975609758"/>
    <n v="37"/>
    <n v="6383.9500000000007"/>
  </r>
  <r>
    <s v="L0164"/>
    <x v="152"/>
    <s v="B0164"/>
    <x v="3"/>
    <x v="163"/>
    <n v="9.1999999999999993"/>
    <n v="36"/>
    <x v="0"/>
    <x v="1"/>
    <x v="1"/>
    <x v="163"/>
    <s v="RENT"/>
    <n v="0.21"/>
    <n v="0.88"/>
    <n v="36487"/>
    <n v="0"/>
    <n v="37969.318181818184"/>
    <n v="57"/>
    <n v="3074"/>
  </r>
  <r>
    <s v="L0165"/>
    <x v="153"/>
    <s v="B0165"/>
    <x v="2"/>
    <x v="164"/>
    <n v="21.5"/>
    <n v="60"/>
    <x v="1"/>
    <x v="4"/>
    <x v="0"/>
    <x v="164"/>
    <s v="MORTGAGE"/>
    <n v="0.21"/>
    <n v="0.69"/>
    <n v="10056.99"/>
    <n v="0"/>
    <n v="51885.507246376816"/>
    <n v="42"/>
    <n v="-25744.010000000002"/>
  </r>
  <r>
    <s v="L0166"/>
    <x v="154"/>
    <s v="B0166"/>
    <x v="3"/>
    <x v="165"/>
    <n v="15.4"/>
    <n v="36"/>
    <x v="0"/>
    <x v="2"/>
    <x v="4"/>
    <x v="165"/>
    <s v="OWN"/>
    <n v="0.23"/>
    <n v="0.64"/>
    <n v="39135.599999999999"/>
    <n v="0"/>
    <n v="52989.0625"/>
    <n v="56"/>
    <n v="5222.5999999999985"/>
  </r>
  <r>
    <s v="L0167"/>
    <x v="155"/>
    <s v="B0167"/>
    <x v="4"/>
    <x v="166"/>
    <n v="12.5"/>
    <n v="60"/>
    <x v="0"/>
    <x v="1"/>
    <x v="0"/>
    <x v="166"/>
    <s v="MORTGAGE"/>
    <n v="0.37"/>
    <n v="0.92"/>
    <n v="29565"/>
    <n v="0"/>
    <n v="28565.217391304348"/>
    <n v="47"/>
    <n v="3285"/>
  </r>
  <r>
    <s v="L0168"/>
    <x v="156"/>
    <s v="B0168"/>
    <x v="7"/>
    <x v="167"/>
    <n v="7.4"/>
    <n v="36"/>
    <x v="1"/>
    <x v="4"/>
    <x v="1"/>
    <x v="167"/>
    <s v="MORTGAGE"/>
    <n v="0.45"/>
    <n v="0.73"/>
    <n v="4065.82"/>
    <n v="0"/>
    <n v="35009.589041095889"/>
    <n v="40"/>
    <n v="-21491.18"/>
  </r>
  <r>
    <s v="L0169"/>
    <x v="66"/>
    <s v="B0169"/>
    <x v="6"/>
    <x v="168"/>
    <n v="19.7"/>
    <n v="60"/>
    <x v="1"/>
    <x v="1"/>
    <x v="4"/>
    <x v="168"/>
    <s v="RENT"/>
    <n v="0.4"/>
    <n v="0.72"/>
    <n v="4839.3500000000004"/>
    <n v="0"/>
    <n v="50555.555555555555"/>
    <n v="37"/>
    <n v="-31560.65"/>
  </r>
  <r>
    <s v="L0170"/>
    <x v="157"/>
    <s v="B0170"/>
    <x v="2"/>
    <x v="169"/>
    <n v="9.6999999999999993"/>
    <n v="36"/>
    <x v="0"/>
    <x v="4"/>
    <x v="2"/>
    <x v="169"/>
    <s v="RENT"/>
    <n v="0.39"/>
    <n v="0.57999999999999996"/>
    <n v="6026.92"/>
    <n v="0"/>
    <n v="9472.4137931034493"/>
    <n v="31"/>
    <n v="532.92000000000007"/>
  </r>
  <r>
    <s v="L0171"/>
    <x v="158"/>
    <s v="B0171"/>
    <x v="1"/>
    <x v="170"/>
    <n v="12.4"/>
    <n v="36"/>
    <x v="0"/>
    <x v="4"/>
    <x v="3"/>
    <x v="170"/>
    <s v="RENT"/>
    <n v="0.28999999999999998"/>
    <n v="0.55000000000000004"/>
    <n v="18154.849999999999"/>
    <n v="0"/>
    <n v="29367.272727272724"/>
    <n v="49"/>
    <n v="2002.8499999999985"/>
  </r>
  <r>
    <s v="L0172"/>
    <x v="159"/>
    <s v="B0172"/>
    <x v="3"/>
    <x v="171"/>
    <n v="6.3"/>
    <n v="36"/>
    <x v="1"/>
    <x v="4"/>
    <x v="3"/>
    <x v="171"/>
    <s v="MORTGAGE"/>
    <n v="0.38"/>
    <n v="0.88"/>
    <n v="1971.07"/>
    <n v="0"/>
    <n v="28289.772727272728"/>
    <n v="57"/>
    <n v="-22923.93"/>
  </r>
  <r>
    <s v="L0173"/>
    <x v="109"/>
    <s v="B0173"/>
    <x v="9"/>
    <x v="172"/>
    <n v="21"/>
    <n v="60"/>
    <x v="3"/>
    <x v="6"/>
    <x v="0"/>
    <x v="172"/>
    <s v="MORTGAGE"/>
    <n v="0.32"/>
    <n v="0.78"/>
    <n v="3338.92"/>
    <n v="989.42"/>
    <n v="13019.23076923077"/>
    <n v="34"/>
    <n v="-5826.66"/>
  </r>
  <r>
    <s v="L0174"/>
    <x v="160"/>
    <s v="B0174"/>
    <x v="4"/>
    <x v="173"/>
    <n v="20.3"/>
    <n v="60"/>
    <x v="3"/>
    <x v="5"/>
    <x v="2"/>
    <x v="173"/>
    <s v="OWN"/>
    <n v="0.19"/>
    <n v="0.65"/>
    <n v="7504.97"/>
    <n v="9677.33"/>
    <n v="50589.230769230766"/>
    <n v="46"/>
    <n v="-15700.7"/>
  </r>
  <r>
    <s v="L0175"/>
    <x v="161"/>
    <s v="B0175"/>
    <x v="1"/>
    <x v="174"/>
    <n v="19.7"/>
    <n v="36"/>
    <x v="1"/>
    <x v="1"/>
    <x v="1"/>
    <x v="174"/>
    <s v="MORTGAGE"/>
    <n v="0.18"/>
    <n v="0.59"/>
    <n v="938.87"/>
    <n v="0"/>
    <n v="4793.2203389830511"/>
    <n v="32"/>
    <n v="-1889.13"/>
  </r>
  <r>
    <s v="L0176"/>
    <x v="162"/>
    <s v="B0176"/>
    <x v="0"/>
    <x v="175"/>
    <n v="11"/>
    <n v="36"/>
    <x v="0"/>
    <x v="4"/>
    <x v="3"/>
    <x v="175"/>
    <s v="MORTGAGE"/>
    <n v="0.22"/>
    <n v="0.75"/>
    <n v="36766.53"/>
    <n v="0"/>
    <n v="44164"/>
    <n v="44"/>
    <n v="3643.5299999999988"/>
  </r>
  <r>
    <s v="L0177"/>
    <x v="61"/>
    <s v="B0177"/>
    <x v="6"/>
    <x v="176"/>
    <n v="8.5"/>
    <n v="36"/>
    <x v="0"/>
    <x v="4"/>
    <x v="2"/>
    <x v="176"/>
    <s v="RENT"/>
    <n v="0.46"/>
    <n v="0.76"/>
    <n v="41851.699999999997"/>
    <n v="0"/>
    <n v="50753.947368421053"/>
    <n v="51"/>
    <n v="3278.6999999999971"/>
  </r>
  <r>
    <s v="L0178"/>
    <x v="6"/>
    <s v="B0178"/>
    <x v="4"/>
    <x v="177"/>
    <n v="17.8"/>
    <n v="60"/>
    <x v="0"/>
    <x v="2"/>
    <x v="0"/>
    <x v="177"/>
    <s v="RENT"/>
    <n v="0.32"/>
    <n v="0.59"/>
    <n v="2127.4699999999998"/>
    <n v="0"/>
    <n v="3061.0169491525426"/>
    <n v="33"/>
    <n v="321.4699999999998"/>
  </r>
  <r>
    <s v="L0179"/>
    <x v="163"/>
    <s v="B0179"/>
    <x v="7"/>
    <x v="178"/>
    <n v="14.9"/>
    <n v="36"/>
    <x v="0"/>
    <x v="5"/>
    <x v="4"/>
    <x v="178"/>
    <s v="RENT"/>
    <n v="0.39"/>
    <n v="0.88"/>
    <n v="35339.79"/>
    <n v="0"/>
    <n v="34951.13636363636"/>
    <n v="41"/>
    <n v="4582.7900000000009"/>
  </r>
  <r>
    <s v="L0180"/>
    <x v="164"/>
    <s v="B0180"/>
    <x v="6"/>
    <x v="179"/>
    <n v="8.6"/>
    <n v="36"/>
    <x v="1"/>
    <x v="2"/>
    <x v="0"/>
    <x v="179"/>
    <s v="RENT"/>
    <n v="0.24"/>
    <n v="0.54"/>
    <n v="13449.63"/>
    <n v="0"/>
    <n v="65992.592592592584"/>
    <n v="47"/>
    <n v="-22186.370000000003"/>
  </r>
  <r>
    <s v="L0181"/>
    <x v="165"/>
    <s v="B0181"/>
    <x v="3"/>
    <x v="180"/>
    <n v="18.7"/>
    <n v="36"/>
    <x v="0"/>
    <x v="0"/>
    <x v="0"/>
    <x v="180"/>
    <s v="RENT"/>
    <n v="0.26"/>
    <n v="0.66"/>
    <n v="18470.91"/>
    <n v="0"/>
    <n v="23577.272727272728"/>
    <n v="57"/>
    <n v="2909.91"/>
  </r>
  <r>
    <s v="L0182"/>
    <x v="166"/>
    <s v="B0182"/>
    <x v="1"/>
    <x v="181"/>
    <n v="24.8"/>
    <n v="36"/>
    <x v="0"/>
    <x v="0"/>
    <x v="2"/>
    <x v="181"/>
    <s v="OWN"/>
    <n v="0.15"/>
    <n v="0.81"/>
    <n v="31526.98"/>
    <n v="0"/>
    <n v="31187.654320987651"/>
    <n v="53"/>
    <n v="6264.98"/>
  </r>
  <r>
    <s v="L0183"/>
    <x v="152"/>
    <s v="B0183"/>
    <x v="0"/>
    <x v="182"/>
    <n v="19.899999999999999"/>
    <n v="60"/>
    <x v="4"/>
    <x v="6"/>
    <x v="3"/>
    <x v="182"/>
    <s v="OWN"/>
    <n v="0.17"/>
    <n v="0.62"/>
    <n v="0"/>
    <n v="0"/>
    <n v="25643.548387096773"/>
    <n v="57"/>
    <n v="-15899"/>
  </r>
  <r>
    <s v="L0184"/>
    <x v="167"/>
    <s v="B0184"/>
    <x v="8"/>
    <x v="183"/>
    <n v="19.8"/>
    <n v="60"/>
    <x v="0"/>
    <x v="1"/>
    <x v="2"/>
    <x v="183"/>
    <s v="OWN"/>
    <n v="0.43"/>
    <n v="0.87"/>
    <n v="20286.93"/>
    <n v="0"/>
    <n v="19464.367816091955"/>
    <n v="51"/>
    <n v="3352.9300000000003"/>
  </r>
  <r>
    <s v="L0185"/>
    <x v="168"/>
    <s v="B0185"/>
    <x v="7"/>
    <x v="184"/>
    <n v="24"/>
    <n v="36"/>
    <x v="0"/>
    <x v="0"/>
    <x v="4"/>
    <x v="184"/>
    <s v="RENT"/>
    <n v="0.33"/>
    <n v="0.83"/>
    <n v="48604.28"/>
    <n v="0"/>
    <n v="47225.301204819276"/>
    <n v="42"/>
    <n v="9407.2799999999988"/>
  </r>
  <r>
    <s v="L0186"/>
    <x v="58"/>
    <s v="B0186"/>
    <x v="5"/>
    <x v="185"/>
    <n v="9.1"/>
    <n v="36"/>
    <x v="0"/>
    <x v="4"/>
    <x v="2"/>
    <x v="185"/>
    <s v="RENT"/>
    <n v="0.24"/>
    <n v="0.86"/>
    <n v="40729.21"/>
    <n v="0"/>
    <n v="43409.302325581397"/>
    <n v="29"/>
    <n v="3397.2099999999991"/>
  </r>
  <r>
    <s v="L0187"/>
    <x v="169"/>
    <s v="B0187"/>
    <x v="3"/>
    <x v="186"/>
    <n v="16.3"/>
    <n v="60"/>
    <x v="1"/>
    <x v="6"/>
    <x v="1"/>
    <x v="186"/>
    <s v="RENT"/>
    <n v="0.42"/>
    <n v="0.55000000000000004"/>
    <n v="12505.08"/>
    <n v="0"/>
    <n v="63921.818181818177"/>
    <n v="33"/>
    <n v="-22651.919999999998"/>
  </r>
  <r>
    <s v="L0188"/>
    <x v="136"/>
    <s v="B0188"/>
    <x v="8"/>
    <x v="187"/>
    <n v="24.6"/>
    <n v="60"/>
    <x v="1"/>
    <x v="5"/>
    <x v="0"/>
    <x v="187"/>
    <s v="OWN"/>
    <n v="0.2"/>
    <n v="0.56000000000000005"/>
    <n v="3295.91"/>
    <n v="0"/>
    <n v="22487.499999999996"/>
    <n v="62"/>
    <n v="-9297.09"/>
  </r>
  <r>
    <s v="L0189"/>
    <x v="170"/>
    <s v="B0189"/>
    <x v="2"/>
    <x v="188"/>
    <n v="8.3000000000000007"/>
    <n v="36"/>
    <x v="0"/>
    <x v="1"/>
    <x v="3"/>
    <x v="188"/>
    <s v="RENT"/>
    <n v="0.49"/>
    <n v="0.63"/>
    <n v="19840.560000000001"/>
    <n v="0"/>
    <n v="29079.365079365078"/>
    <n v="33"/>
    <n v="1520.5600000000013"/>
  </r>
  <r>
    <s v="L0190"/>
    <x v="171"/>
    <s v="B0190"/>
    <x v="0"/>
    <x v="189"/>
    <n v="19"/>
    <n v="60"/>
    <x v="0"/>
    <x v="4"/>
    <x v="4"/>
    <x v="189"/>
    <s v="OWN"/>
    <n v="0.24"/>
    <n v="0.73"/>
    <n v="33767.440000000002"/>
    <n v="0"/>
    <n v="38871.232876712333"/>
    <n v="54"/>
    <n v="5391.4400000000023"/>
  </r>
  <r>
    <s v="L0191"/>
    <x v="172"/>
    <s v="B0191"/>
    <x v="9"/>
    <x v="190"/>
    <n v="16.7"/>
    <n v="60"/>
    <x v="1"/>
    <x v="4"/>
    <x v="0"/>
    <x v="190"/>
    <s v="RENT"/>
    <n v="0.23"/>
    <n v="0.84"/>
    <n v="3413"/>
    <n v="0"/>
    <n v="18094.047619047618"/>
    <n v="47"/>
    <n v="-11786"/>
  </r>
  <r>
    <s v="L0192"/>
    <x v="173"/>
    <s v="B0192"/>
    <x v="5"/>
    <x v="191"/>
    <n v="16.7"/>
    <n v="36"/>
    <x v="1"/>
    <x v="3"/>
    <x v="2"/>
    <x v="191"/>
    <s v="MORTGAGE"/>
    <n v="0.22"/>
    <n v="0.88"/>
    <n v="3698.91"/>
    <n v="0"/>
    <n v="19177.272727272728"/>
    <n v="27"/>
    <n v="-13177.09"/>
  </r>
  <r>
    <s v="L0193"/>
    <x v="174"/>
    <s v="B0193"/>
    <x v="1"/>
    <x v="192"/>
    <n v="19"/>
    <n v="60"/>
    <x v="2"/>
    <x v="0"/>
    <x v="1"/>
    <x v="192"/>
    <s v="OWN"/>
    <n v="0.15"/>
    <n v="0.82"/>
    <n v="0"/>
    <n v="0"/>
    <n v="11274.39024390244"/>
    <n v="29"/>
    <n v="-9245"/>
  </r>
  <r>
    <s v="L0194"/>
    <x v="175"/>
    <s v="B0194"/>
    <x v="0"/>
    <x v="193"/>
    <n v="23.6"/>
    <n v="60"/>
    <x v="1"/>
    <x v="5"/>
    <x v="2"/>
    <x v="193"/>
    <s v="MORTGAGE"/>
    <n v="0.14000000000000001"/>
    <n v="0.92"/>
    <n v="2776.51"/>
    <n v="0"/>
    <n v="8928.2608695652161"/>
    <n v="62"/>
    <n v="-5437.49"/>
  </r>
  <r>
    <s v="L0195"/>
    <x v="56"/>
    <s v="B0195"/>
    <x v="6"/>
    <x v="194"/>
    <n v="20.7"/>
    <n v="36"/>
    <x v="1"/>
    <x v="6"/>
    <x v="0"/>
    <x v="194"/>
    <s v="OWN"/>
    <n v="0.36"/>
    <n v="0.83"/>
    <n v="470.61"/>
    <n v="0"/>
    <n v="2079.5180722891569"/>
    <n v="35"/>
    <n v="-1255.3899999999999"/>
  </r>
  <r>
    <s v="L0196"/>
    <x v="176"/>
    <s v="B0196"/>
    <x v="4"/>
    <x v="195"/>
    <n v="6.1"/>
    <n v="36"/>
    <x v="0"/>
    <x v="0"/>
    <x v="4"/>
    <x v="195"/>
    <s v="RENT"/>
    <n v="0.45"/>
    <n v="0.64"/>
    <n v="13116.08"/>
    <n v="0"/>
    <n v="19315.625"/>
    <n v="55"/>
    <n v="754.07999999999993"/>
  </r>
  <r>
    <s v="L0197"/>
    <x v="177"/>
    <s v="B0197"/>
    <x v="6"/>
    <x v="196"/>
    <n v="22.1"/>
    <n v="60"/>
    <x v="0"/>
    <x v="4"/>
    <x v="3"/>
    <x v="196"/>
    <s v="RENT"/>
    <n v="0.42"/>
    <n v="0.62"/>
    <n v="23561.64"/>
    <n v="0"/>
    <n v="31124.193548387098"/>
    <n v="49"/>
    <n v="4264.6399999999994"/>
  </r>
  <r>
    <s v="L0198"/>
    <x v="178"/>
    <s v="B0198"/>
    <x v="6"/>
    <x v="197"/>
    <n v="9.5"/>
    <n v="36"/>
    <x v="0"/>
    <x v="5"/>
    <x v="0"/>
    <x v="197"/>
    <s v="MORTGAGE"/>
    <n v="0.16"/>
    <n v="0.81"/>
    <n v="34435.56"/>
    <n v="0"/>
    <n v="38824.691358024691"/>
    <n v="57"/>
    <n v="2987.5599999999977"/>
  </r>
  <r>
    <s v="L0199"/>
    <x v="179"/>
    <s v="B0199"/>
    <x v="2"/>
    <x v="198"/>
    <n v="12.5"/>
    <n v="60"/>
    <x v="1"/>
    <x v="5"/>
    <x v="4"/>
    <x v="198"/>
    <s v="RENT"/>
    <n v="0.32"/>
    <n v="0.59"/>
    <n v="11741.28"/>
    <n v="0"/>
    <n v="46054.237288135599"/>
    <n v="60"/>
    <n v="-15430.72"/>
  </r>
  <r>
    <s v="L0200"/>
    <x v="126"/>
    <s v="B0200"/>
    <x v="7"/>
    <x v="199"/>
    <n v="14.2"/>
    <n v="36"/>
    <x v="1"/>
    <x v="5"/>
    <x v="0"/>
    <x v="199"/>
    <s v="OWN"/>
    <n v="0.14000000000000001"/>
    <n v="0.54"/>
    <n v="3840.38"/>
    <n v="0"/>
    <n v="16031.48148148148"/>
    <n v="41"/>
    <n v="-4816.62"/>
  </r>
  <r>
    <s v="L0201"/>
    <x v="180"/>
    <s v="B0201"/>
    <x v="9"/>
    <x v="200"/>
    <n v="14.6"/>
    <n v="60"/>
    <x v="0"/>
    <x v="4"/>
    <x v="1"/>
    <x v="200"/>
    <s v="RENT"/>
    <n v="0.12"/>
    <n v="0.74"/>
    <n v="22748.1"/>
    <n v="0"/>
    <n v="26824.324324324323"/>
    <n v="43"/>
    <n v="2898.0999999999985"/>
  </r>
  <r>
    <s v="L0202"/>
    <x v="181"/>
    <s v="B0202"/>
    <x v="5"/>
    <x v="201"/>
    <n v="13.7"/>
    <n v="36"/>
    <x v="0"/>
    <x v="5"/>
    <x v="2"/>
    <x v="201"/>
    <s v="RENT"/>
    <n v="0.36"/>
    <n v="0.87"/>
    <n v="30045.22"/>
    <n v="0"/>
    <n v="30373.563218390806"/>
    <n v="59"/>
    <n v="3620.2200000000012"/>
  </r>
  <r>
    <s v="L0203"/>
    <x v="171"/>
    <s v="B0203"/>
    <x v="7"/>
    <x v="202"/>
    <n v="23.7"/>
    <n v="60"/>
    <x v="0"/>
    <x v="5"/>
    <x v="3"/>
    <x v="202"/>
    <s v="OWN"/>
    <n v="0.31"/>
    <n v="0.55000000000000004"/>
    <n v="34246.339999999997"/>
    <n v="0"/>
    <n v="50336.363636363632"/>
    <n v="54"/>
    <n v="6561.3399999999965"/>
  </r>
  <r>
    <s v="L0204"/>
    <x v="182"/>
    <s v="B0204"/>
    <x v="0"/>
    <x v="203"/>
    <n v="19.100000000000001"/>
    <n v="60"/>
    <x v="3"/>
    <x v="1"/>
    <x v="4"/>
    <x v="203"/>
    <s v="MORTGAGE"/>
    <n v="0.13"/>
    <n v="0.86"/>
    <n v="3866.58"/>
    <n v="7371.47"/>
    <n v="29741.860465116279"/>
    <n v="45"/>
    <n v="-14339.95"/>
  </r>
  <r>
    <s v="L0205"/>
    <x v="94"/>
    <s v="B0205"/>
    <x v="6"/>
    <x v="204"/>
    <n v="17.600000000000001"/>
    <n v="60"/>
    <x v="1"/>
    <x v="0"/>
    <x v="3"/>
    <x v="204"/>
    <s v="MORTGAGE"/>
    <n v="0.11"/>
    <n v="0.87"/>
    <n v="3320.34"/>
    <n v="0"/>
    <n v="34288.505747126437"/>
    <n v="59"/>
    <n v="-26510.66"/>
  </r>
  <r>
    <s v="L0206"/>
    <x v="183"/>
    <s v="B0206"/>
    <x v="2"/>
    <x v="205"/>
    <n v="6"/>
    <n v="36"/>
    <x v="1"/>
    <x v="1"/>
    <x v="3"/>
    <x v="205"/>
    <s v="RENT"/>
    <n v="0.5"/>
    <n v="0.72"/>
    <n v="2971.76"/>
    <n v="0"/>
    <n v="12369.444444444445"/>
    <n v="57"/>
    <n v="-5934.24"/>
  </r>
  <r>
    <s v="L0207"/>
    <x v="184"/>
    <s v="B0207"/>
    <x v="0"/>
    <x v="206"/>
    <n v="23.1"/>
    <n v="36"/>
    <x v="1"/>
    <x v="2"/>
    <x v="3"/>
    <x v="206"/>
    <s v="OWN"/>
    <n v="0.11"/>
    <n v="0.53"/>
    <n v="1537.67"/>
    <n v="0"/>
    <n v="15635.849056603773"/>
    <n v="32"/>
    <n v="-6749.33"/>
  </r>
  <r>
    <s v="L0208"/>
    <x v="185"/>
    <s v="B0208"/>
    <x v="4"/>
    <x v="207"/>
    <n v="23.2"/>
    <n v="60"/>
    <x v="3"/>
    <x v="5"/>
    <x v="4"/>
    <x v="72"/>
    <s v="MORTGAGE"/>
    <n v="0.28000000000000003"/>
    <n v="0.57999999999999996"/>
    <n v="3659.1"/>
    <n v="4720.7299999999996"/>
    <n v="59758.620689655174"/>
    <n v="33"/>
    <n v="-26280.17"/>
  </r>
  <r>
    <s v="L0209"/>
    <x v="61"/>
    <s v="B0209"/>
    <x v="9"/>
    <x v="208"/>
    <n v="20.6"/>
    <n v="60"/>
    <x v="1"/>
    <x v="1"/>
    <x v="4"/>
    <x v="207"/>
    <s v="MORTGAGE"/>
    <n v="0.3"/>
    <n v="0.82"/>
    <n v="5048.66"/>
    <n v="0"/>
    <n v="13685.365853658537"/>
    <n v="51"/>
    <n v="-6173.34"/>
  </r>
  <r>
    <s v="L0210"/>
    <x v="186"/>
    <s v="B0210"/>
    <x v="5"/>
    <x v="209"/>
    <n v="5.0999999999999996"/>
    <n v="36"/>
    <x v="1"/>
    <x v="5"/>
    <x v="3"/>
    <x v="208"/>
    <s v="RENT"/>
    <n v="0.15"/>
    <n v="0.82"/>
    <n v="5847.39"/>
    <n v="0"/>
    <n v="46881.707317073175"/>
    <n v="35"/>
    <n v="-32595.61"/>
  </r>
  <r>
    <s v="L0211"/>
    <x v="187"/>
    <s v="B0211"/>
    <x v="4"/>
    <x v="210"/>
    <n v="6.1"/>
    <n v="36"/>
    <x v="0"/>
    <x v="6"/>
    <x v="2"/>
    <x v="209"/>
    <s v="OWN"/>
    <n v="0.17"/>
    <n v="0.9"/>
    <n v="37878.76"/>
    <n v="0"/>
    <n v="39667.777777777774"/>
    <n v="31"/>
    <n v="2177.760000000002"/>
  </r>
  <r>
    <s v="L0212"/>
    <x v="188"/>
    <s v="B0212"/>
    <x v="2"/>
    <x v="211"/>
    <n v="9.5"/>
    <n v="36"/>
    <x v="0"/>
    <x v="2"/>
    <x v="0"/>
    <x v="210"/>
    <s v="MORTGAGE"/>
    <n v="0.24"/>
    <n v="0.76"/>
    <n v="20546.580000000002"/>
    <n v="0"/>
    <n v="24689.473684210527"/>
    <n v="57"/>
    <n v="1782.5800000000017"/>
  </r>
  <r>
    <s v="L0213"/>
    <x v="189"/>
    <s v="B0213"/>
    <x v="9"/>
    <x v="212"/>
    <n v="7.6"/>
    <n v="36"/>
    <x v="0"/>
    <x v="0"/>
    <x v="3"/>
    <x v="211"/>
    <s v="RENT"/>
    <n v="0.4"/>
    <n v="0.56000000000000005"/>
    <n v="20093.22"/>
    <n v="0"/>
    <n v="33346.428571428565"/>
    <n v="36"/>
    <n v="1419.2200000000012"/>
  </r>
  <r>
    <s v="L0214"/>
    <x v="102"/>
    <s v="B0214"/>
    <x v="0"/>
    <x v="213"/>
    <n v="13"/>
    <n v="36"/>
    <x v="0"/>
    <x v="4"/>
    <x v="1"/>
    <x v="212"/>
    <s v="RENT"/>
    <n v="0.3"/>
    <n v="0.55000000000000004"/>
    <n v="21497.119999999999"/>
    <n v="0"/>
    <n v="34589.090909090904"/>
    <n v="49"/>
    <n v="2473.119999999999"/>
  </r>
  <r>
    <s v="L0215"/>
    <x v="56"/>
    <s v="B0215"/>
    <x v="6"/>
    <x v="214"/>
    <n v="23.5"/>
    <n v="36"/>
    <x v="2"/>
    <x v="4"/>
    <x v="3"/>
    <x v="213"/>
    <s v="RENT"/>
    <n v="0.36"/>
    <n v="0.82"/>
    <n v="0"/>
    <n v="0"/>
    <n v="30334.146341463416"/>
    <n v="35"/>
    <n v="-24874"/>
  </r>
  <r>
    <s v="L0216"/>
    <x v="145"/>
    <s v="B0216"/>
    <x v="6"/>
    <x v="215"/>
    <n v="14.4"/>
    <n v="60"/>
    <x v="0"/>
    <x v="4"/>
    <x v="4"/>
    <x v="214"/>
    <s v="RENT"/>
    <n v="0.49"/>
    <n v="0.57999999999999996"/>
    <n v="38076.9"/>
    <n v="0"/>
    <n v="57386.206896551725"/>
    <n v="49"/>
    <n v="4792.9000000000015"/>
  </r>
  <r>
    <s v="L0217"/>
    <x v="190"/>
    <s v="B0217"/>
    <x v="3"/>
    <x v="216"/>
    <n v="5.3"/>
    <n v="36"/>
    <x v="3"/>
    <x v="0"/>
    <x v="0"/>
    <x v="215"/>
    <s v="MORTGAGE"/>
    <n v="0.41"/>
    <n v="0.65"/>
    <n v="7046.14"/>
    <n v="4694.51"/>
    <n v="28618.461538461539"/>
    <n v="41"/>
    <n v="-6861.3499999999985"/>
  </r>
  <r>
    <s v="L0218"/>
    <x v="89"/>
    <s v="B0218"/>
    <x v="6"/>
    <x v="217"/>
    <n v="10.7"/>
    <n v="60"/>
    <x v="0"/>
    <x v="6"/>
    <x v="1"/>
    <x v="216"/>
    <s v="OWN"/>
    <n v="0.27"/>
    <n v="0.72"/>
    <n v="42933.89"/>
    <n v="0"/>
    <n v="53866.666666666672"/>
    <n v="27"/>
    <n v="4149.8899999999994"/>
  </r>
  <r>
    <s v="L0219"/>
    <x v="191"/>
    <s v="B0219"/>
    <x v="8"/>
    <x v="218"/>
    <n v="5.9"/>
    <n v="36"/>
    <x v="0"/>
    <x v="0"/>
    <x v="0"/>
    <x v="217"/>
    <s v="RENT"/>
    <n v="0.28000000000000003"/>
    <n v="0.51"/>
    <n v="25696.639999999999"/>
    <n v="0"/>
    <n v="47578.431372549021"/>
    <n v="40"/>
    <n v="1431.6399999999994"/>
  </r>
  <r>
    <s v="L0220"/>
    <x v="14"/>
    <s v="B0220"/>
    <x v="6"/>
    <x v="219"/>
    <n v="5.7"/>
    <n v="36"/>
    <x v="3"/>
    <x v="5"/>
    <x v="0"/>
    <x v="218"/>
    <s v="RENT"/>
    <n v="0.35"/>
    <n v="0.61"/>
    <n v="8489.4699999999993"/>
    <n v="8648.65"/>
    <n v="44149.180327868853"/>
    <n v="47"/>
    <n v="-9792.880000000001"/>
  </r>
  <r>
    <s v="L0221"/>
    <x v="157"/>
    <s v="B0221"/>
    <x v="8"/>
    <x v="220"/>
    <n v="10.5"/>
    <n v="60"/>
    <x v="0"/>
    <x v="1"/>
    <x v="1"/>
    <x v="219"/>
    <s v="MORTGAGE"/>
    <n v="0.37"/>
    <n v="0.68"/>
    <n v="32974.300000000003"/>
    <n v="0"/>
    <n v="43883.823529411762"/>
    <n v="31"/>
    <n v="3133.3000000000029"/>
  </r>
  <r>
    <s v="L0222"/>
    <x v="192"/>
    <s v="B0222"/>
    <x v="1"/>
    <x v="221"/>
    <n v="10.5"/>
    <n v="60"/>
    <x v="0"/>
    <x v="0"/>
    <x v="3"/>
    <x v="220"/>
    <s v="RENT"/>
    <n v="0.3"/>
    <n v="0.63"/>
    <n v="33362.160000000003"/>
    <n v="0"/>
    <n v="47923.809523809527"/>
    <n v="47"/>
    <n v="3170.1600000000035"/>
  </r>
  <r>
    <s v="L0223"/>
    <x v="193"/>
    <s v="B0223"/>
    <x v="8"/>
    <x v="222"/>
    <n v="20.7"/>
    <n v="36"/>
    <x v="0"/>
    <x v="2"/>
    <x v="3"/>
    <x v="221"/>
    <s v="RENT"/>
    <n v="0.36"/>
    <n v="0.56000000000000005"/>
    <n v="20018.099999999999"/>
    <n v="0"/>
    <n v="29616.071428571428"/>
    <n v="28"/>
    <n v="3433.0999999999985"/>
  </r>
  <r>
    <s v="L0224"/>
    <x v="194"/>
    <s v="B0224"/>
    <x v="9"/>
    <x v="223"/>
    <n v="24.5"/>
    <n v="60"/>
    <x v="1"/>
    <x v="6"/>
    <x v="3"/>
    <x v="222"/>
    <s v="OWN"/>
    <n v="0.11"/>
    <n v="0.83"/>
    <n v="10442.84"/>
    <n v="0"/>
    <n v="31998.795180722893"/>
    <n v="37"/>
    <n v="-16116.16"/>
  </r>
  <r>
    <s v="L0225"/>
    <x v="195"/>
    <s v="B0225"/>
    <x v="4"/>
    <x v="224"/>
    <n v="12.4"/>
    <n v="60"/>
    <x v="0"/>
    <x v="5"/>
    <x v="2"/>
    <x v="223"/>
    <s v="RENT"/>
    <n v="0.27"/>
    <n v="0.87"/>
    <n v="39050.01"/>
    <n v="0"/>
    <n v="39933.333333333336"/>
    <n v="61"/>
    <n v="4308.010000000002"/>
  </r>
  <r>
    <s v="L0226"/>
    <x v="196"/>
    <s v="B0226"/>
    <x v="9"/>
    <x v="225"/>
    <n v="13.6"/>
    <n v="60"/>
    <x v="1"/>
    <x v="4"/>
    <x v="3"/>
    <x v="224"/>
    <s v="MORTGAGE"/>
    <n v="0.21"/>
    <n v="0.62"/>
    <n v="722"/>
    <n v="0"/>
    <n v="8279.032258064517"/>
    <n v="55"/>
    <n v="-4411"/>
  </r>
  <r>
    <s v="L0227"/>
    <x v="27"/>
    <s v="B0227"/>
    <x v="4"/>
    <x v="226"/>
    <n v="21.9"/>
    <n v="60"/>
    <x v="1"/>
    <x v="0"/>
    <x v="1"/>
    <x v="225"/>
    <s v="OWN"/>
    <n v="0.15"/>
    <n v="0.85"/>
    <n v="2433.83"/>
    <n v="0"/>
    <n v="18427.058823529413"/>
    <n v="44"/>
    <n v="-13229.17"/>
  </r>
  <r>
    <s v="L0228"/>
    <x v="197"/>
    <s v="B0228"/>
    <x v="3"/>
    <x v="227"/>
    <n v="10.4"/>
    <n v="36"/>
    <x v="1"/>
    <x v="1"/>
    <x v="2"/>
    <x v="226"/>
    <s v="MORTGAGE"/>
    <n v="0.14000000000000001"/>
    <n v="0.67"/>
    <n v="6475.12"/>
    <n v="0"/>
    <n v="33961.194029850747"/>
    <n v="48"/>
    <n v="-16278.880000000001"/>
  </r>
  <r>
    <s v="L0229"/>
    <x v="198"/>
    <s v="B0229"/>
    <x v="1"/>
    <x v="228"/>
    <n v="8.1"/>
    <n v="60"/>
    <x v="1"/>
    <x v="0"/>
    <x v="3"/>
    <x v="227"/>
    <s v="OWN"/>
    <n v="0.34"/>
    <n v="0.73"/>
    <n v="633.66"/>
    <n v="0"/>
    <n v="6810.9589041095896"/>
    <n v="61"/>
    <n v="-4338.34"/>
  </r>
  <r>
    <s v="L0230"/>
    <x v="199"/>
    <s v="B0230"/>
    <x v="4"/>
    <x v="229"/>
    <n v="22.1"/>
    <n v="36"/>
    <x v="0"/>
    <x v="1"/>
    <x v="2"/>
    <x v="228"/>
    <s v="OWN"/>
    <n v="0.31"/>
    <n v="0.89"/>
    <n v="7686.2"/>
    <n v="0"/>
    <n v="7073.0337078651683"/>
    <n v="55"/>
    <n v="1391.1999999999998"/>
  </r>
  <r>
    <s v="L0231"/>
    <x v="200"/>
    <s v="B0231"/>
    <x v="4"/>
    <x v="230"/>
    <n v="5.9"/>
    <n v="36"/>
    <x v="0"/>
    <x v="6"/>
    <x v="1"/>
    <x v="229"/>
    <s v="RENT"/>
    <n v="0.2"/>
    <n v="0.84"/>
    <n v="31902.38"/>
    <n v="0"/>
    <n v="35863.095238095237"/>
    <n v="36"/>
    <n v="1777.380000000001"/>
  </r>
  <r>
    <s v="L0232"/>
    <x v="201"/>
    <s v="B0232"/>
    <x v="2"/>
    <x v="231"/>
    <n v="17.399999999999999"/>
    <n v="36"/>
    <x v="1"/>
    <x v="0"/>
    <x v="3"/>
    <x v="230"/>
    <s v="RENT"/>
    <n v="0.28999999999999998"/>
    <n v="0.86"/>
    <n v="2043.7"/>
    <n v="0"/>
    <n v="12677.906976744187"/>
    <n v="53"/>
    <n v="-8859.2999999999993"/>
  </r>
  <r>
    <s v="L0233"/>
    <x v="62"/>
    <s v="B0233"/>
    <x v="7"/>
    <x v="232"/>
    <n v="16.2"/>
    <n v="36"/>
    <x v="0"/>
    <x v="6"/>
    <x v="4"/>
    <x v="231"/>
    <s v="RENT"/>
    <n v="0.3"/>
    <n v="0.56000000000000005"/>
    <n v="4671.24"/>
    <n v="0"/>
    <n v="7178.5714285714275"/>
    <n v="33"/>
    <n v="651.23999999999978"/>
  </r>
  <r>
    <s v="L0234"/>
    <x v="202"/>
    <s v="B0234"/>
    <x v="7"/>
    <x v="233"/>
    <n v="11.9"/>
    <n v="60"/>
    <x v="0"/>
    <x v="0"/>
    <x v="1"/>
    <x v="232"/>
    <s v="MORTGAGE"/>
    <n v="0.18"/>
    <n v="0.53"/>
    <n v="23968.98"/>
    <n v="0"/>
    <n v="40415.094339622643"/>
    <n v="31"/>
    <n v="2548.9799999999996"/>
  </r>
  <r>
    <s v="L0235"/>
    <x v="172"/>
    <s v="B0235"/>
    <x v="2"/>
    <x v="234"/>
    <n v="11.3"/>
    <n v="60"/>
    <x v="0"/>
    <x v="2"/>
    <x v="0"/>
    <x v="233"/>
    <s v="RENT"/>
    <n v="0.36"/>
    <n v="0.9"/>
    <n v="24989.08"/>
    <n v="0"/>
    <n v="24946.666666666664"/>
    <n v="47"/>
    <n v="2537.0800000000017"/>
  </r>
  <r>
    <s v="L0236"/>
    <x v="203"/>
    <s v="B0236"/>
    <x v="6"/>
    <x v="235"/>
    <n v="20.399999999999999"/>
    <n v="36"/>
    <x v="3"/>
    <x v="0"/>
    <x v="0"/>
    <x v="234"/>
    <s v="RENT"/>
    <n v="0.41"/>
    <n v="0.67"/>
    <n v="7661.31"/>
    <n v="15157.1"/>
    <n v="58210.447761194024"/>
    <n v="29"/>
    <n v="-16182.59"/>
  </r>
  <r>
    <s v="L0237"/>
    <x v="56"/>
    <s v="B0237"/>
    <x v="2"/>
    <x v="236"/>
    <n v="6.7"/>
    <n v="36"/>
    <x v="0"/>
    <x v="1"/>
    <x v="1"/>
    <x v="235"/>
    <s v="OWN"/>
    <n v="0.42"/>
    <n v="0.63"/>
    <n v="11220.57"/>
    <n v="0"/>
    <n v="16692.063492063491"/>
    <n v="35"/>
    <n v="704.56999999999971"/>
  </r>
  <r>
    <s v="L0238"/>
    <x v="204"/>
    <s v="B0238"/>
    <x v="4"/>
    <x v="237"/>
    <n v="9.6999999999999993"/>
    <n v="36"/>
    <x v="0"/>
    <x v="4"/>
    <x v="0"/>
    <x v="236"/>
    <s v="RENT"/>
    <n v="0.34"/>
    <n v="0.83"/>
    <n v="3725.41"/>
    <n v="0"/>
    <n v="4091.5662650602412"/>
    <n v="40"/>
    <n v="329.40999999999985"/>
  </r>
  <r>
    <s v="L0239"/>
    <x v="205"/>
    <s v="B0239"/>
    <x v="4"/>
    <x v="238"/>
    <n v="19.600000000000001"/>
    <n v="36"/>
    <x v="1"/>
    <x v="6"/>
    <x v="1"/>
    <x v="237"/>
    <s v="RENT"/>
    <n v="0.3"/>
    <n v="0.88"/>
    <n v="2381.36"/>
    <n v="0"/>
    <n v="22211.363636363636"/>
    <n v="44"/>
    <n v="-17164.64"/>
  </r>
  <r>
    <s v="L0240"/>
    <x v="206"/>
    <s v="B0240"/>
    <x v="2"/>
    <x v="239"/>
    <n v="16"/>
    <n v="60"/>
    <x v="1"/>
    <x v="5"/>
    <x v="4"/>
    <x v="238"/>
    <s v="RENT"/>
    <n v="0.12"/>
    <n v="0.89"/>
    <n v="2865.01"/>
    <n v="0"/>
    <n v="22616.853932584268"/>
    <n v="27"/>
    <n v="-17263.989999999998"/>
  </r>
  <r>
    <s v="L0241"/>
    <x v="207"/>
    <s v="B0241"/>
    <x v="2"/>
    <x v="240"/>
    <n v="7.6"/>
    <n v="36"/>
    <x v="0"/>
    <x v="0"/>
    <x v="1"/>
    <x v="239"/>
    <s v="RENT"/>
    <n v="0.22"/>
    <n v="0.64"/>
    <n v="2787.92"/>
    <n v="0"/>
    <n v="4048.4375"/>
    <n v="62"/>
    <n v="196.92000000000007"/>
  </r>
  <r>
    <s v="L0242"/>
    <x v="208"/>
    <s v="B0242"/>
    <x v="6"/>
    <x v="241"/>
    <n v="22.6"/>
    <n v="60"/>
    <x v="0"/>
    <x v="5"/>
    <x v="3"/>
    <x v="240"/>
    <s v="OWN"/>
    <n v="0.14000000000000001"/>
    <n v="0.88"/>
    <n v="15083.48"/>
    <n v="0"/>
    <n v="13980.681818181818"/>
    <n v="57"/>
    <n v="2780.4799999999996"/>
  </r>
  <r>
    <s v="L0243"/>
    <x v="209"/>
    <s v="B0243"/>
    <x v="9"/>
    <x v="242"/>
    <n v="12.9"/>
    <n v="36"/>
    <x v="1"/>
    <x v="4"/>
    <x v="3"/>
    <x v="241"/>
    <s v="RENT"/>
    <n v="0.49"/>
    <n v="0.52"/>
    <n v="12777.42"/>
    <n v="0"/>
    <n v="60694.230769230766"/>
    <n v="46"/>
    <n v="-18783.580000000002"/>
  </r>
  <r>
    <s v="L0244"/>
    <x v="210"/>
    <s v="B0244"/>
    <x v="1"/>
    <x v="243"/>
    <n v="21.6"/>
    <n v="36"/>
    <x v="4"/>
    <x v="1"/>
    <x v="2"/>
    <x v="242"/>
    <s v="OWN"/>
    <n v="0.15"/>
    <n v="0.52"/>
    <n v="0"/>
    <n v="0"/>
    <n v="13813.461538461537"/>
    <n v="27"/>
    <n v="-7183"/>
  </r>
  <r>
    <s v="L0245"/>
    <x v="211"/>
    <s v="B0245"/>
    <x v="0"/>
    <x v="244"/>
    <n v="20.8"/>
    <n v="36"/>
    <x v="1"/>
    <x v="2"/>
    <x v="0"/>
    <x v="243"/>
    <s v="MORTGAGE"/>
    <n v="0.16"/>
    <n v="0.78"/>
    <n v="3453.07"/>
    <n v="0"/>
    <n v="35348.717948717946"/>
    <n v="45"/>
    <n v="-24118.93"/>
  </r>
  <r>
    <s v="L0246"/>
    <x v="94"/>
    <s v="B0246"/>
    <x v="4"/>
    <x v="245"/>
    <n v="17.5"/>
    <n v="36"/>
    <x v="0"/>
    <x v="4"/>
    <x v="0"/>
    <x v="244"/>
    <s v="RENT"/>
    <n v="0.46"/>
    <n v="0.53"/>
    <n v="41219"/>
    <n v="0"/>
    <n v="66188.679245283012"/>
    <n v="59"/>
    <n v="6139"/>
  </r>
  <r>
    <s v="L0247"/>
    <x v="173"/>
    <s v="B0247"/>
    <x v="1"/>
    <x v="246"/>
    <n v="14.9"/>
    <n v="60"/>
    <x v="0"/>
    <x v="4"/>
    <x v="1"/>
    <x v="245"/>
    <s v="RENT"/>
    <n v="0.48"/>
    <n v="0.65"/>
    <n v="24927.56"/>
    <n v="0"/>
    <n v="33376.923076923078"/>
    <n v="27"/>
    <n v="3232.5600000000013"/>
  </r>
  <r>
    <s v="L0248"/>
    <x v="147"/>
    <s v="B0248"/>
    <x v="2"/>
    <x v="247"/>
    <n v="24.6"/>
    <n v="60"/>
    <x v="3"/>
    <x v="0"/>
    <x v="0"/>
    <x v="246"/>
    <s v="RENT"/>
    <n v="0.41"/>
    <n v="0.8"/>
    <n v="902.38"/>
    <n v="4096.3"/>
    <n v="10392.5"/>
    <n v="53"/>
    <n v="-3315.3199999999997"/>
  </r>
  <r>
    <s v="L0249"/>
    <x v="212"/>
    <s v="B0249"/>
    <x v="6"/>
    <x v="248"/>
    <n v="7.9"/>
    <n v="60"/>
    <x v="1"/>
    <x v="5"/>
    <x v="3"/>
    <x v="247"/>
    <s v="OWN"/>
    <n v="0.1"/>
    <n v="0.65"/>
    <n v="6871.78"/>
    <n v="0"/>
    <n v="31727.692307692305"/>
    <n v="46"/>
    <n v="-13751.220000000001"/>
  </r>
  <r>
    <s v="L0250"/>
    <x v="213"/>
    <s v="B0250"/>
    <x v="8"/>
    <x v="249"/>
    <n v="19.5"/>
    <n v="36"/>
    <x v="0"/>
    <x v="4"/>
    <x v="4"/>
    <x v="248"/>
    <s v="RENT"/>
    <n v="0.1"/>
    <n v="0.57999999999999996"/>
    <n v="3751.1"/>
    <n v="0"/>
    <n v="5412.0689655172418"/>
    <n v="52"/>
    <n v="612.09999999999991"/>
  </r>
  <r>
    <s v="L0251"/>
    <x v="214"/>
    <s v="B0251"/>
    <x v="6"/>
    <x v="250"/>
    <n v="8.8000000000000007"/>
    <n v="36"/>
    <x v="0"/>
    <x v="4"/>
    <x v="1"/>
    <x v="249"/>
    <s v="RENT"/>
    <n v="0.25"/>
    <n v="0.63"/>
    <n v="35131.519999999997"/>
    <n v="0"/>
    <n v="51253.968253968254"/>
    <n v="56"/>
    <n v="2841.5199999999968"/>
  </r>
  <r>
    <s v="L0252"/>
    <x v="215"/>
    <s v="B0252"/>
    <x v="5"/>
    <x v="251"/>
    <n v="11.8"/>
    <n v="60"/>
    <x v="1"/>
    <x v="0"/>
    <x v="0"/>
    <x v="250"/>
    <s v="MORTGAGE"/>
    <n v="0.16"/>
    <n v="0.71"/>
    <n v="9337.7000000000007"/>
    <n v="0"/>
    <n v="26884.507042253521"/>
    <n v="42"/>
    <n v="-9750.2999999999993"/>
  </r>
  <r>
    <s v="L0253"/>
    <x v="22"/>
    <s v="B0253"/>
    <x v="5"/>
    <x v="252"/>
    <n v="11.2"/>
    <n v="60"/>
    <x v="0"/>
    <x v="4"/>
    <x v="3"/>
    <x v="251"/>
    <s v="OWN"/>
    <n v="0.11"/>
    <n v="0.71"/>
    <n v="37952.559999999998"/>
    <n v="0"/>
    <n v="48070.42253521127"/>
    <n v="39"/>
    <n v="3822.5599999999977"/>
  </r>
  <r>
    <s v="L0254"/>
    <x v="216"/>
    <s v="B0254"/>
    <x v="1"/>
    <x v="253"/>
    <n v="23.9"/>
    <n v="36"/>
    <x v="0"/>
    <x v="3"/>
    <x v="2"/>
    <x v="252"/>
    <s v="OWN"/>
    <n v="0.28999999999999998"/>
    <n v="0.85"/>
    <n v="40996.03"/>
    <n v="0"/>
    <n v="38927.058823529413"/>
    <n v="29"/>
    <n v="7908.0299999999988"/>
  </r>
  <r>
    <s v="L0255"/>
    <x v="217"/>
    <s v="B0255"/>
    <x v="7"/>
    <x v="254"/>
    <n v="24.3"/>
    <n v="36"/>
    <x v="0"/>
    <x v="4"/>
    <x v="0"/>
    <x v="253"/>
    <s v="MORTGAGE"/>
    <n v="0.48"/>
    <n v="0.84"/>
    <n v="33923.96"/>
    <n v="0"/>
    <n v="32490.476190476191"/>
    <n v="56"/>
    <n v="6631.9599999999991"/>
  </r>
  <r>
    <s v="L0256"/>
    <x v="16"/>
    <s v="B0256"/>
    <x v="5"/>
    <x v="255"/>
    <n v="8.6999999999999993"/>
    <n v="60"/>
    <x v="0"/>
    <x v="5"/>
    <x v="4"/>
    <x v="254"/>
    <s v="OWN"/>
    <n v="0.23"/>
    <n v="0.71"/>
    <n v="23555.29"/>
    <n v="0"/>
    <n v="30521.12676056338"/>
    <n v="54"/>
    <n v="1885.2900000000009"/>
  </r>
  <r>
    <s v="L0257"/>
    <x v="218"/>
    <s v="B0257"/>
    <x v="5"/>
    <x v="256"/>
    <n v="5.4"/>
    <n v="36"/>
    <x v="0"/>
    <x v="1"/>
    <x v="4"/>
    <x v="255"/>
    <s v="RENT"/>
    <n v="0.36"/>
    <n v="0.88"/>
    <n v="4993.8500000000004"/>
    <n v="0"/>
    <n v="5384.090909090909"/>
    <n v="30"/>
    <n v="255.85000000000036"/>
  </r>
  <r>
    <s v="L0258"/>
    <x v="219"/>
    <s v="B0258"/>
    <x v="9"/>
    <x v="257"/>
    <n v="19.399999999999999"/>
    <n v="36"/>
    <x v="1"/>
    <x v="1"/>
    <x v="0"/>
    <x v="256"/>
    <s v="RENT"/>
    <n v="0.36"/>
    <n v="0.55000000000000004"/>
    <n v="690.49"/>
    <n v="0"/>
    <n v="6307.272727272727"/>
    <n v="32"/>
    <n v="-2778.51"/>
  </r>
  <r>
    <s v="L0259"/>
    <x v="220"/>
    <s v="B0259"/>
    <x v="8"/>
    <x v="258"/>
    <n v="13.4"/>
    <n v="60"/>
    <x v="0"/>
    <x v="4"/>
    <x v="0"/>
    <x v="257"/>
    <s v="MORTGAGE"/>
    <n v="0.2"/>
    <n v="0.61"/>
    <n v="26687.56"/>
    <n v="0"/>
    <n v="38580.327868852459"/>
    <n v="58"/>
    <n v="3153.5600000000013"/>
  </r>
  <r>
    <s v="L0260"/>
    <x v="221"/>
    <s v="B0260"/>
    <x v="9"/>
    <x v="259"/>
    <n v="6.8"/>
    <n v="36"/>
    <x v="0"/>
    <x v="5"/>
    <x v="3"/>
    <x v="258"/>
    <s v="OWN"/>
    <n v="0.36"/>
    <n v="0.87"/>
    <n v="10698.16"/>
    <n v="0"/>
    <n v="11513.793103448275"/>
    <n v="62"/>
    <n v="681.15999999999985"/>
  </r>
  <r>
    <s v="L0261"/>
    <x v="48"/>
    <s v="B0261"/>
    <x v="8"/>
    <x v="260"/>
    <n v="18.7"/>
    <n v="60"/>
    <x v="0"/>
    <x v="6"/>
    <x v="0"/>
    <x v="259"/>
    <s v="OWN"/>
    <n v="0.18"/>
    <n v="0.67"/>
    <n v="4520.1000000000004"/>
    <n v="0"/>
    <n v="5683.5820895522384"/>
    <n v="43"/>
    <n v="712.10000000000036"/>
  </r>
  <r>
    <s v="L0262"/>
    <x v="222"/>
    <s v="B0262"/>
    <x v="3"/>
    <x v="261"/>
    <n v="15.9"/>
    <n v="36"/>
    <x v="0"/>
    <x v="0"/>
    <x v="2"/>
    <x v="260"/>
    <s v="OWN"/>
    <n v="0.15"/>
    <n v="0.94"/>
    <n v="15893.37"/>
    <n v="0"/>
    <n v="14588.297872340427"/>
    <n v="43"/>
    <n v="2180.3700000000008"/>
  </r>
  <r>
    <s v="L0263"/>
    <x v="223"/>
    <s v="B0263"/>
    <x v="0"/>
    <x v="262"/>
    <n v="24.6"/>
    <n v="60"/>
    <x v="0"/>
    <x v="4"/>
    <x v="3"/>
    <x v="261"/>
    <s v="MORTGAGE"/>
    <n v="0.38"/>
    <n v="0.71"/>
    <n v="4633.87"/>
    <n v="0"/>
    <n v="5238.0281690140846"/>
    <n v="40"/>
    <n v="914.86999999999989"/>
  </r>
  <r>
    <s v="L0264"/>
    <x v="224"/>
    <s v="B0264"/>
    <x v="4"/>
    <x v="263"/>
    <n v="9.5"/>
    <n v="36"/>
    <x v="0"/>
    <x v="0"/>
    <x v="1"/>
    <x v="262"/>
    <s v="RENT"/>
    <n v="0.15"/>
    <n v="0.86"/>
    <n v="26159.55"/>
    <n v="0"/>
    <n v="27779.069767441862"/>
    <n v="42"/>
    <n v="2269.5499999999993"/>
  </r>
  <r>
    <s v="L0265"/>
    <x v="225"/>
    <s v="B0265"/>
    <x v="5"/>
    <x v="264"/>
    <n v="13.1"/>
    <n v="60"/>
    <x v="1"/>
    <x v="4"/>
    <x v="2"/>
    <x v="263"/>
    <s v="MORTGAGE"/>
    <n v="0.5"/>
    <n v="0.68"/>
    <n v="1313.12"/>
    <n v="0"/>
    <n v="18676.470588235294"/>
    <n v="34"/>
    <n v="-11386.880000000001"/>
  </r>
  <r>
    <s v="L0266"/>
    <x v="226"/>
    <s v="B0266"/>
    <x v="4"/>
    <x v="265"/>
    <n v="15.9"/>
    <n v="60"/>
    <x v="0"/>
    <x v="4"/>
    <x v="3"/>
    <x v="264"/>
    <s v="RENT"/>
    <n v="0.17"/>
    <n v="0.69"/>
    <n v="43472.93"/>
    <n v="0"/>
    <n v="54360.869565217392"/>
    <n v="30"/>
    <n v="5963.93"/>
  </r>
  <r>
    <s v="L0267"/>
    <x v="227"/>
    <s v="B0267"/>
    <x v="5"/>
    <x v="266"/>
    <n v="20.8"/>
    <n v="60"/>
    <x v="0"/>
    <x v="1"/>
    <x v="3"/>
    <x v="265"/>
    <s v="MORTGAGE"/>
    <n v="0.34"/>
    <n v="0.67"/>
    <n v="45621.33"/>
    <n v="0"/>
    <n v="56367.164179104475"/>
    <n v="57"/>
    <n v="7855.3300000000017"/>
  </r>
  <r>
    <s v="L0268"/>
    <x v="228"/>
    <s v="B0268"/>
    <x v="9"/>
    <x v="267"/>
    <n v="16"/>
    <n v="60"/>
    <x v="0"/>
    <x v="0"/>
    <x v="4"/>
    <x v="266"/>
    <s v="RENT"/>
    <n v="0.26"/>
    <n v="0.82"/>
    <n v="32137.8"/>
    <n v="0"/>
    <n v="33786.585365853658"/>
    <n v="46"/>
    <n v="4432.7999999999993"/>
  </r>
  <r>
    <s v="L0269"/>
    <x v="229"/>
    <s v="B0269"/>
    <x v="0"/>
    <x v="268"/>
    <n v="17.3"/>
    <n v="36"/>
    <x v="0"/>
    <x v="5"/>
    <x v="3"/>
    <x v="267"/>
    <s v="OWN"/>
    <n v="0.15"/>
    <n v="0.75"/>
    <n v="23210.15"/>
    <n v="0"/>
    <n v="26382.666666666668"/>
    <n v="36"/>
    <n v="3423.1500000000015"/>
  </r>
  <r>
    <s v="L0270"/>
    <x v="230"/>
    <s v="B0270"/>
    <x v="9"/>
    <x v="269"/>
    <n v="9.5"/>
    <n v="36"/>
    <x v="3"/>
    <x v="5"/>
    <x v="2"/>
    <x v="89"/>
    <s v="OWN"/>
    <n v="0.11"/>
    <n v="0.92"/>
    <n v="7479.55"/>
    <n v="6127.76"/>
    <n v="29986.956521739128"/>
    <n v="54"/>
    <n v="-13980.689999999999"/>
  </r>
  <r>
    <s v="L0271"/>
    <x v="231"/>
    <s v="B0271"/>
    <x v="9"/>
    <x v="270"/>
    <n v="21.9"/>
    <n v="60"/>
    <x v="0"/>
    <x v="5"/>
    <x v="0"/>
    <x v="268"/>
    <s v="OWN"/>
    <n v="0.35"/>
    <n v="0.61"/>
    <n v="33062.94"/>
    <n v="0"/>
    <n v="44463.934426229513"/>
    <n v="27"/>
    <n v="5939.9400000000023"/>
  </r>
  <r>
    <s v="L0272"/>
    <x v="232"/>
    <s v="B0272"/>
    <x v="8"/>
    <x v="271"/>
    <n v="13.6"/>
    <n v="36"/>
    <x v="3"/>
    <x v="1"/>
    <x v="2"/>
    <x v="269"/>
    <s v="MORTGAGE"/>
    <n v="0.42"/>
    <n v="0.55000000000000004"/>
    <n v="12667.87"/>
    <n v="12334.49"/>
    <n v="61930.909090909088"/>
    <n v="37"/>
    <n v="-9059.64"/>
  </r>
  <r>
    <s v="L0273"/>
    <x v="233"/>
    <s v="B0273"/>
    <x v="7"/>
    <x v="272"/>
    <n v="7.8"/>
    <n v="36"/>
    <x v="0"/>
    <x v="4"/>
    <x v="1"/>
    <x v="270"/>
    <s v="MORTGAGE"/>
    <n v="0.44"/>
    <n v="0.68"/>
    <n v="12048.81"/>
    <n v="0"/>
    <n v="16436.764705882353"/>
    <n v="44"/>
    <n v="871.80999999999949"/>
  </r>
  <r>
    <s v="L0274"/>
    <x v="234"/>
    <s v="B0274"/>
    <x v="6"/>
    <x v="273"/>
    <n v="18.3"/>
    <n v="36"/>
    <x v="1"/>
    <x v="2"/>
    <x v="3"/>
    <x v="271"/>
    <s v="MORTGAGE"/>
    <n v="0.28999999999999998"/>
    <n v="0.78"/>
    <n v="9155.07"/>
    <n v="0"/>
    <n v="29137.179487179485"/>
    <n v="32"/>
    <n v="-13571.93"/>
  </r>
  <r>
    <s v="L0275"/>
    <x v="235"/>
    <s v="B0275"/>
    <x v="1"/>
    <x v="274"/>
    <n v="9.3000000000000007"/>
    <n v="36"/>
    <x v="0"/>
    <x v="5"/>
    <x v="3"/>
    <x v="272"/>
    <s v="OWN"/>
    <n v="0.41"/>
    <n v="0.89"/>
    <n v="34123.46"/>
    <n v="0"/>
    <n v="35078.651685393255"/>
    <n v="49"/>
    <n v="2903.4599999999991"/>
  </r>
  <r>
    <s v="L0276"/>
    <x v="118"/>
    <s v="B0276"/>
    <x v="4"/>
    <x v="275"/>
    <n v="7"/>
    <n v="36"/>
    <x v="1"/>
    <x v="5"/>
    <x v="3"/>
    <x v="273"/>
    <s v="RENT"/>
    <n v="0.37"/>
    <n v="0.66"/>
    <n v="3592.5"/>
    <n v="0"/>
    <n v="16487.878787878788"/>
    <n v="45"/>
    <n v="-7289.5"/>
  </r>
  <r>
    <s v="L0277"/>
    <x v="236"/>
    <s v="B0277"/>
    <x v="3"/>
    <x v="276"/>
    <n v="22.2"/>
    <n v="60"/>
    <x v="0"/>
    <x v="6"/>
    <x v="3"/>
    <x v="274"/>
    <s v="OWN"/>
    <n v="0.39"/>
    <n v="0.79"/>
    <n v="2610.19"/>
    <n v="0"/>
    <n v="2703.7974683544303"/>
    <n v="35"/>
    <n v="474.19000000000005"/>
  </r>
  <r>
    <s v="L0278"/>
    <x v="237"/>
    <s v="B0278"/>
    <x v="5"/>
    <x v="277"/>
    <n v="14.2"/>
    <n v="60"/>
    <x v="0"/>
    <x v="4"/>
    <x v="4"/>
    <x v="275"/>
    <s v="OWN"/>
    <n v="0.3"/>
    <n v="0.66"/>
    <n v="40920.14"/>
    <n v="0"/>
    <n v="54290.909090909088"/>
    <n v="32"/>
    <n v="5088.1399999999994"/>
  </r>
  <r>
    <s v="L0279"/>
    <x v="238"/>
    <s v="B0279"/>
    <x v="9"/>
    <x v="278"/>
    <n v="20"/>
    <n v="60"/>
    <x v="1"/>
    <x v="0"/>
    <x v="4"/>
    <x v="276"/>
    <s v="RENT"/>
    <n v="0.35"/>
    <n v="0.78"/>
    <n v="6322.07"/>
    <n v="0"/>
    <n v="42264.102564102563"/>
    <n v="61"/>
    <n v="-26643.93"/>
  </r>
  <r>
    <s v="L0280"/>
    <x v="239"/>
    <s v="B0280"/>
    <x v="7"/>
    <x v="279"/>
    <n v="10.8"/>
    <n v="60"/>
    <x v="1"/>
    <x v="1"/>
    <x v="0"/>
    <x v="277"/>
    <s v="RENT"/>
    <n v="0.42"/>
    <n v="0.9"/>
    <n v="2353.41"/>
    <n v="0"/>
    <n v="8898.8888888888887"/>
    <n v="40"/>
    <n v="-5655.59"/>
  </r>
  <r>
    <s v="L0281"/>
    <x v="240"/>
    <s v="B0281"/>
    <x v="9"/>
    <x v="280"/>
    <n v="20.7"/>
    <n v="36"/>
    <x v="0"/>
    <x v="5"/>
    <x v="3"/>
    <x v="278"/>
    <s v="RENT"/>
    <n v="0.26"/>
    <n v="0.6"/>
    <n v="16882.310000000001"/>
    <n v="0"/>
    <n v="23311.666666666668"/>
    <n v="61"/>
    <n v="2895.3100000000013"/>
  </r>
  <r>
    <s v="L0282"/>
    <x v="241"/>
    <s v="B0282"/>
    <x v="0"/>
    <x v="281"/>
    <n v="7.2"/>
    <n v="36"/>
    <x v="0"/>
    <x v="2"/>
    <x v="1"/>
    <x v="279"/>
    <s v="RENT"/>
    <n v="0.42"/>
    <n v="0.68"/>
    <n v="41069.39"/>
    <n v="0"/>
    <n v="56339.705882352937"/>
    <n v="52"/>
    <n v="2758.3899999999994"/>
  </r>
  <r>
    <s v="L0283"/>
    <x v="242"/>
    <s v="B0283"/>
    <x v="8"/>
    <x v="282"/>
    <n v="12.1"/>
    <n v="60"/>
    <x v="0"/>
    <x v="3"/>
    <x v="0"/>
    <x v="280"/>
    <s v="OWN"/>
    <n v="0.34"/>
    <n v="0.95"/>
    <n v="36516.57"/>
    <n v="0"/>
    <n v="34289.473684210527"/>
    <n v="45"/>
    <n v="3941.5699999999997"/>
  </r>
  <r>
    <s v="L0284"/>
    <x v="243"/>
    <s v="B0284"/>
    <x v="3"/>
    <x v="283"/>
    <n v="24.6"/>
    <n v="36"/>
    <x v="1"/>
    <x v="4"/>
    <x v="3"/>
    <x v="281"/>
    <s v="MORTGAGE"/>
    <n v="0.17"/>
    <n v="0.89"/>
    <n v="182.76"/>
    <n v="0"/>
    <n v="2255.0561797752807"/>
    <n v="49"/>
    <n v="-1824.24"/>
  </r>
  <r>
    <s v="L0285"/>
    <x v="244"/>
    <s v="B0285"/>
    <x v="6"/>
    <x v="284"/>
    <n v="20.9"/>
    <n v="36"/>
    <x v="0"/>
    <x v="4"/>
    <x v="4"/>
    <x v="282"/>
    <s v="OWN"/>
    <n v="0.11"/>
    <n v="0.75"/>
    <n v="7792"/>
    <n v="0"/>
    <n v="8593.3333333333339"/>
    <n v="41"/>
    <n v="1347"/>
  </r>
  <r>
    <s v="L0286"/>
    <x v="245"/>
    <s v="B0286"/>
    <x v="0"/>
    <x v="285"/>
    <n v="14.9"/>
    <n v="60"/>
    <x v="0"/>
    <x v="4"/>
    <x v="1"/>
    <x v="283"/>
    <s v="RENT"/>
    <n v="0.25"/>
    <n v="0.73"/>
    <n v="13450.19"/>
    <n v="0"/>
    <n v="16035.616438356165"/>
    <n v="30"/>
    <n v="1744.1900000000005"/>
  </r>
  <r>
    <s v="L0287"/>
    <x v="246"/>
    <s v="B0287"/>
    <x v="2"/>
    <x v="286"/>
    <n v="11.8"/>
    <n v="36"/>
    <x v="1"/>
    <x v="4"/>
    <x v="0"/>
    <x v="284"/>
    <s v="MORTGAGE"/>
    <n v="0.32"/>
    <n v="0.63"/>
    <n v="10757.13"/>
    <n v="0"/>
    <n v="48026.984126984127"/>
    <n v="47"/>
    <n v="-19499.870000000003"/>
  </r>
  <r>
    <s v="L0288"/>
    <x v="247"/>
    <s v="B0288"/>
    <x v="3"/>
    <x v="287"/>
    <n v="22.4"/>
    <n v="60"/>
    <x v="3"/>
    <x v="6"/>
    <x v="1"/>
    <x v="285"/>
    <s v="MORTGAGE"/>
    <n v="0.44"/>
    <n v="0.73"/>
    <n v="7219.33"/>
    <n v="8265.9599999999991"/>
    <n v="31145.205479452055"/>
    <n v="35"/>
    <n v="-7250.7100000000009"/>
  </r>
  <r>
    <s v="L0289"/>
    <x v="248"/>
    <s v="B0289"/>
    <x v="9"/>
    <x v="288"/>
    <n v="15.9"/>
    <n v="60"/>
    <x v="1"/>
    <x v="1"/>
    <x v="3"/>
    <x v="286"/>
    <s v="OWN"/>
    <n v="0.15"/>
    <n v="0.88"/>
    <n v="6915.78"/>
    <n v="0"/>
    <n v="16228.40909090909"/>
    <n v="38"/>
    <n v="-7365.22"/>
  </r>
  <r>
    <s v="L0290"/>
    <x v="225"/>
    <s v="B0290"/>
    <x v="0"/>
    <x v="289"/>
    <n v="20.2"/>
    <n v="36"/>
    <x v="1"/>
    <x v="5"/>
    <x v="2"/>
    <x v="287"/>
    <s v="OWN"/>
    <n v="0.42"/>
    <n v="0.81"/>
    <n v="407.08"/>
    <n v="0"/>
    <n v="3006.1728395061727"/>
    <n v="34"/>
    <n v="-2027.92"/>
  </r>
  <r>
    <s v="L0291"/>
    <x v="249"/>
    <s v="B0291"/>
    <x v="6"/>
    <x v="290"/>
    <n v="20.100000000000001"/>
    <n v="36"/>
    <x v="1"/>
    <x v="0"/>
    <x v="1"/>
    <x v="288"/>
    <s v="OWN"/>
    <n v="0.45"/>
    <n v="0.63"/>
    <n v="2002.15"/>
    <n v="0"/>
    <n v="54506.349206349209"/>
    <n v="60"/>
    <n v="-32336.85"/>
  </r>
  <r>
    <s v="L0292"/>
    <x v="250"/>
    <s v="B0292"/>
    <x v="7"/>
    <x v="291"/>
    <n v="5.4"/>
    <n v="60"/>
    <x v="0"/>
    <x v="4"/>
    <x v="1"/>
    <x v="289"/>
    <s v="MORTGAGE"/>
    <n v="0.16"/>
    <n v="0.59"/>
    <n v="38102.1"/>
    <n v="0"/>
    <n v="61271.186440677971"/>
    <n v="43"/>
    <n v="1952.0999999999985"/>
  </r>
  <r>
    <s v="L0293"/>
    <x v="251"/>
    <s v="B0293"/>
    <x v="7"/>
    <x v="292"/>
    <n v="7.5"/>
    <n v="60"/>
    <x v="0"/>
    <x v="4"/>
    <x v="4"/>
    <x v="290"/>
    <s v="MORTGAGE"/>
    <n v="0.44"/>
    <n v="0.62"/>
    <n v="28832.57"/>
    <n v="0"/>
    <n v="43259.677419354841"/>
    <n v="57"/>
    <n v="2011.5699999999997"/>
  </r>
  <r>
    <s v="L0294"/>
    <x v="252"/>
    <s v="B0294"/>
    <x v="4"/>
    <x v="293"/>
    <n v="18.2"/>
    <n v="36"/>
    <x v="1"/>
    <x v="6"/>
    <x v="3"/>
    <x v="291"/>
    <s v="MORTGAGE"/>
    <n v="0.5"/>
    <n v="0.57999999999999996"/>
    <n v="8174.19"/>
    <n v="0"/>
    <n v="47689.655172413797"/>
    <n v="52"/>
    <n v="-19485.810000000001"/>
  </r>
  <r>
    <s v="L0295"/>
    <x v="222"/>
    <s v="B0295"/>
    <x v="6"/>
    <x v="294"/>
    <n v="8.1999999999999993"/>
    <n v="60"/>
    <x v="0"/>
    <x v="0"/>
    <x v="1"/>
    <x v="292"/>
    <s v="RENT"/>
    <n v="0.39"/>
    <n v="0.54"/>
    <n v="6582.89"/>
    <n v="0"/>
    <n v="11266.666666666666"/>
    <n v="43"/>
    <n v="498.89000000000033"/>
  </r>
  <r>
    <s v="L0296"/>
    <x v="253"/>
    <s v="B0296"/>
    <x v="7"/>
    <x v="295"/>
    <n v="10.1"/>
    <n v="60"/>
    <x v="3"/>
    <x v="6"/>
    <x v="3"/>
    <x v="293"/>
    <s v="RENT"/>
    <n v="0.41"/>
    <n v="0.69"/>
    <n v="5510.89"/>
    <n v="3016.27"/>
    <n v="25595.652173913044"/>
    <n v="52"/>
    <n v="-9133.84"/>
  </r>
  <r>
    <s v="L0297"/>
    <x v="120"/>
    <s v="B0297"/>
    <x v="0"/>
    <x v="296"/>
    <n v="23.9"/>
    <n v="60"/>
    <x v="0"/>
    <x v="1"/>
    <x v="4"/>
    <x v="294"/>
    <s v="OWN"/>
    <n v="0.5"/>
    <n v="0.55000000000000004"/>
    <n v="17974.169999999998"/>
    <n v="0"/>
    <n v="26376.363636363636"/>
    <n v="40"/>
    <n v="3467.1699999999983"/>
  </r>
  <r>
    <s v="L0298"/>
    <x v="254"/>
    <s v="B0298"/>
    <x v="4"/>
    <x v="297"/>
    <n v="16.2"/>
    <n v="36"/>
    <x v="0"/>
    <x v="1"/>
    <x v="3"/>
    <x v="295"/>
    <s v="MORTGAGE"/>
    <n v="0.34"/>
    <n v="0.57999999999999996"/>
    <n v="9364.56"/>
    <n v="0"/>
    <n v="13894.827586206897"/>
    <n v="35"/>
    <n v="1305.5599999999995"/>
  </r>
  <r>
    <s v="L0299"/>
    <x v="255"/>
    <s v="B0299"/>
    <x v="7"/>
    <x v="298"/>
    <n v="20"/>
    <n v="60"/>
    <x v="3"/>
    <x v="4"/>
    <x v="4"/>
    <x v="296"/>
    <s v="OWN"/>
    <n v="0.22"/>
    <n v="0.75"/>
    <n v="6496.68"/>
    <n v="2294.8000000000002"/>
    <n v="25694.666666666668"/>
    <n v="27"/>
    <n v="-10479.52"/>
  </r>
  <r>
    <s v="L0300"/>
    <x v="256"/>
    <s v="B0300"/>
    <x v="3"/>
    <x v="299"/>
    <n v="16.2"/>
    <n v="36"/>
    <x v="1"/>
    <x v="1"/>
    <x v="4"/>
    <x v="297"/>
    <s v="MORTGAGE"/>
    <n v="0.44"/>
    <n v="0.56999999999999995"/>
    <n v="1164.82"/>
    <n v="0"/>
    <n v="14896.491228070177"/>
    <n v="29"/>
    <n v="-7326.18"/>
  </r>
  <r>
    <s v="L0301"/>
    <x v="257"/>
    <s v="B0301"/>
    <x v="8"/>
    <x v="300"/>
    <n v="16.100000000000001"/>
    <n v="60"/>
    <x v="0"/>
    <x v="5"/>
    <x v="0"/>
    <x v="298"/>
    <s v="OWN"/>
    <n v="0.35"/>
    <n v="0.53"/>
    <n v="18412.3"/>
    <n v="0"/>
    <n v="29922.641509433961"/>
    <n v="47"/>
    <n v="2553.2999999999993"/>
  </r>
  <r>
    <s v="L0302"/>
    <x v="98"/>
    <s v="B0302"/>
    <x v="2"/>
    <x v="301"/>
    <n v="6.9"/>
    <n v="36"/>
    <x v="1"/>
    <x v="1"/>
    <x v="3"/>
    <x v="299"/>
    <s v="RENT"/>
    <n v="0.33"/>
    <n v="0.64"/>
    <n v="1522.35"/>
    <n v="0"/>
    <n v="14176.5625"/>
    <n v="42"/>
    <n v="-7550.65"/>
  </r>
  <r>
    <s v="L0303"/>
    <x v="216"/>
    <s v="B0303"/>
    <x v="6"/>
    <x v="302"/>
    <n v="11.9"/>
    <n v="60"/>
    <x v="1"/>
    <x v="4"/>
    <x v="2"/>
    <x v="300"/>
    <s v="MORTGAGE"/>
    <n v="0.2"/>
    <n v="0.6"/>
    <n v="2828.27"/>
    <n v="0"/>
    <n v="16795"/>
    <n v="29"/>
    <n v="-7248.73"/>
  </r>
  <r>
    <s v="L0304"/>
    <x v="258"/>
    <s v="B0304"/>
    <x v="0"/>
    <x v="303"/>
    <n v="10.6"/>
    <n v="36"/>
    <x v="0"/>
    <x v="5"/>
    <x v="0"/>
    <x v="301"/>
    <s v="RENT"/>
    <n v="0.4"/>
    <n v="0.73"/>
    <n v="24280.02"/>
    <n v="0"/>
    <n v="30072.60273972603"/>
    <n v="53"/>
    <n v="2327.0200000000004"/>
  </r>
  <r>
    <s v="L0305"/>
    <x v="63"/>
    <s v="B0305"/>
    <x v="5"/>
    <x v="304"/>
    <n v="12.8"/>
    <n v="36"/>
    <x v="0"/>
    <x v="1"/>
    <x v="4"/>
    <x v="302"/>
    <s v="MORTGAGE"/>
    <n v="0.13"/>
    <n v="0.55000000000000004"/>
    <n v="13968.02"/>
    <n v="0"/>
    <n v="22514.545454545452"/>
    <n v="27"/>
    <n v="1585.0200000000004"/>
  </r>
  <r>
    <s v="L0306"/>
    <x v="259"/>
    <s v="B0306"/>
    <x v="9"/>
    <x v="305"/>
    <n v="21"/>
    <n v="36"/>
    <x v="1"/>
    <x v="0"/>
    <x v="2"/>
    <x v="303"/>
    <s v="OWN"/>
    <n v="0.47"/>
    <n v="0.84"/>
    <n v="666.48"/>
    <n v="0"/>
    <n v="3991.666666666667"/>
    <n v="29"/>
    <n v="-2686.52"/>
  </r>
  <r>
    <s v="L0307"/>
    <x v="260"/>
    <s v="B0307"/>
    <x v="0"/>
    <x v="306"/>
    <n v="12.4"/>
    <n v="60"/>
    <x v="3"/>
    <x v="4"/>
    <x v="1"/>
    <x v="304"/>
    <s v="MORTGAGE"/>
    <n v="0.23"/>
    <n v="0.91"/>
    <n v="8889.73"/>
    <n v="5061.28"/>
    <n v="27275.824175824175"/>
    <n v="62"/>
    <n v="-10869.990000000002"/>
  </r>
  <r>
    <s v="L0308"/>
    <x v="261"/>
    <s v="B0308"/>
    <x v="7"/>
    <x v="307"/>
    <n v="14"/>
    <n v="60"/>
    <x v="0"/>
    <x v="3"/>
    <x v="1"/>
    <x v="305"/>
    <s v="RENT"/>
    <n v="0.15"/>
    <n v="0.83"/>
    <n v="43966.38"/>
    <n v="0"/>
    <n v="46466.265060240963"/>
    <n v="37"/>
    <n v="5399.3799999999974"/>
  </r>
  <r>
    <s v="L0309"/>
    <x v="262"/>
    <s v="B0309"/>
    <x v="0"/>
    <x v="308"/>
    <n v="12.9"/>
    <n v="60"/>
    <x v="3"/>
    <x v="0"/>
    <x v="0"/>
    <x v="306"/>
    <s v="MORTGAGE"/>
    <n v="0.28000000000000003"/>
    <n v="0.74"/>
    <n v="6261.43"/>
    <n v="5898.18"/>
    <n v="34945.945945945947"/>
    <n v="33"/>
    <n v="-13700.39"/>
  </r>
  <r>
    <s v="L0310"/>
    <x v="263"/>
    <s v="B0310"/>
    <x v="5"/>
    <x v="309"/>
    <n v="6.9"/>
    <n v="36"/>
    <x v="3"/>
    <x v="4"/>
    <x v="2"/>
    <x v="307"/>
    <s v="OWN"/>
    <n v="0.12"/>
    <n v="0.89"/>
    <n v="7543.49"/>
    <n v="5682.73"/>
    <n v="24938.20224719101"/>
    <n v="30"/>
    <n v="-8968.7800000000007"/>
  </r>
  <r>
    <s v="L0311"/>
    <x v="148"/>
    <s v="B0311"/>
    <x v="9"/>
    <x v="310"/>
    <n v="13.8"/>
    <n v="60"/>
    <x v="0"/>
    <x v="4"/>
    <x v="3"/>
    <x v="308"/>
    <s v="MORTGAGE"/>
    <n v="0.37"/>
    <n v="0.81"/>
    <n v="14724.58"/>
    <n v="0"/>
    <n v="15974.074074074073"/>
    <n v="33"/>
    <n v="1785.58"/>
  </r>
  <r>
    <s v="L0312"/>
    <x v="264"/>
    <s v="B0312"/>
    <x v="4"/>
    <x v="311"/>
    <n v="8.9"/>
    <n v="36"/>
    <x v="1"/>
    <x v="1"/>
    <x v="2"/>
    <x v="309"/>
    <s v="RENT"/>
    <n v="0.46"/>
    <n v="0.5"/>
    <n v="8198.4599999999991"/>
    <n v="0"/>
    <n v="52676"/>
    <n v="61"/>
    <n v="-18139.54"/>
  </r>
  <r>
    <s v="L0313"/>
    <x v="265"/>
    <s v="B0313"/>
    <x v="7"/>
    <x v="312"/>
    <n v="8.6999999999999993"/>
    <n v="60"/>
    <x v="0"/>
    <x v="0"/>
    <x v="0"/>
    <x v="310"/>
    <s v="OWN"/>
    <n v="0.43"/>
    <n v="0.68"/>
    <n v="24707.51"/>
    <n v="0"/>
    <n v="33426.470588235294"/>
    <n v="34"/>
    <n v="1977.5099999999984"/>
  </r>
  <r>
    <s v="L0314"/>
    <x v="266"/>
    <s v="B0314"/>
    <x v="1"/>
    <x v="313"/>
    <n v="6.9"/>
    <n v="36"/>
    <x v="0"/>
    <x v="5"/>
    <x v="3"/>
    <x v="311"/>
    <s v="RENT"/>
    <n v="0.15"/>
    <n v="0.88"/>
    <n v="23974.46"/>
    <n v="0"/>
    <n v="25485.227272727272"/>
    <n v="35"/>
    <n v="1547.4599999999991"/>
  </r>
  <r>
    <s v="L0315"/>
    <x v="267"/>
    <s v="B0315"/>
    <x v="7"/>
    <x v="314"/>
    <n v="12.1"/>
    <n v="36"/>
    <x v="1"/>
    <x v="0"/>
    <x v="3"/>
    <x v="312"/>
    <s v="MORTGAGE"/>
    <n v="0.15"/>
    <n v="0.66"/>
    <n v="14402.05"/>
    <n v="0"/>
    <n v="54842.42424242424"/>
    <n v="31"/>
    <n v="-21793.95"/>
  </r>
  <r>
    <s v="L0316"/>
    <x v="268"/>
    <s v="B0316"/>
    <x v="2"/>
    <x v="315"/>
    <n v="20.100000000000001"/>
    <n v="36"/>
    <x v="3"/>
    <x v="0"/>
    <x v="1"/>
    <x v="313"/>
    <s v="RENT"/>
    <n v="0.43"/>
    <n v="0.52"/>
    <n v="5611.04"/>
    <n v="8802.11"/>
    <n v="54005.769230769227"/>
    <n v="41"/>
    <n v="-13669.849999999999"/>
  </r>
  <r>
    <s v="L0317"/>
    <x v="269"/>
    <s v="B0317"/>
    <x v="1"/>
    <x v="316"/>
    <n v="10.5"/>
    <n v="60"/>
    <x v="1"/>
    <x v="1"/>
    <x v="2"/>
    <x v="314"/>
    <s v="MORTGAGE"/>
    <n v="0.47"/>
    <n v="0.84"/>
    <n v="9547.33"/>
    <n v="0"/>
    <n v="26797.61904761905"/>
    <n v="53"/>
    <n v="-12962.67"/>
  </r>
  <r>
    <s v="L0318"/>
    <x v="270"/>
    <s v="B0318"/>
    <x v="2"/>
    <x v="317"/>
    <n v="11.2"/>
    <n v="60"/>
    <x v="0"/>
    <x v="4"/>
    <x v="3"/>
    <x v="315"/>
    <s v="OWN"/>
    <n v="0.28000000000000003"/>
    <n v="0.86"/>
    <n v="9800.06"/>
    <n v="0"/>
    <n v="10247.674418604651"/>
    <n v="50"/>
    <n v="987.05999999999949"/>
  </r>
  <r>
    <s v="L0319"/>
    <x v="271"/>
    <s v="B0319"/>
    <x v="5"/>
    <x v="318"/>
    <n v="17.899999999999999"/>
    <n v="60"/>
    <x v="0"/>
    <x v="3"/>
    <x v="0"/>
    <x v="316"/>
    <s v="RENT"/>
    <n v="0.3"/>
    <n v="0.56999999999999995"/>
    <n v="38433.040000000001"/>
    <n v="0"/>
    <n v="57189.473684210534"/>
    <n v="41"/>
    <n v="5835.0400000000009"/>
  </r>
  <r>
    <s v="L0320"/>
    <x v="272"/>
    <s v="B0320"/>
    <x v="6"/>
    <x v="319"/>
    <n v="8.9"/>
    <n v="36"/>
    <x v="0"/>
    <x v="0"/>
    <x v="1"/>
    <x v="317"/>
    <s v="RENT"/>
    <n v="0.23"/>
    <n v="0.74"/>
    <n v="31112.73"/>
    <n v="0"/>
    <n v="38608.108108108107"/>
    <n v="41"/>
    <n v="2542.7299999999996"/>
  </r>
  <r>
    <s v="L0321"/>
    <x v="273"/>
    <s v="B0321"/>
    <x v="9"/>
    <x v="320"/>
    <n v="22.9"/>
    <n v="36"/>
    <x v="0"/>
    <x v="4"/>
    <x v="3"/>
    <x v="318"/>
    <s v="MORTGAGE"/>
    <n v="0.46"/>
    <n v="0.59"/>
    <n v="34512.78"/>
    <n v="0"/>
    <n v="47596.610169491527"/>
    <n v="58"/>
    <n v="6430.7799999999988"/>
  </r>
  <r>
    <s v="L0322"/>
    <x v="274"/>
    <s v="B0322"/>
    <x v="8"/>
    <x v="321"/>
    <n v="15.4"/>
    <n v="60"/>
    <x v="0"/>
    <x v="0"/>
    <x v="2"/>
    <x v="319"/>
    <s v="RENT"/>
    <n v="0.36"/>
    <n v="0.82"/>
    <n v="34898.11"/>
    <n v="0"/>
    <n v="36879.268292682929"/>
    <n v="35"/>
    <n v="4657.1100000000006"/>
  </r>
  <r>
    <s v="L0323"/>
    <x v="275"/>
    <s v="B0323"/>
    <x v="4"/>
    <x v="322"/>
    <n v="14"/>
    <n v="60"/>
    <x v="1"/>
    <x v="4"/>
    <x v="1"/>
    <x v="320"/>
    <s v="RENT"/>
    <n v="0.22"/>
    <n v="0.62"/>
    <n v="5497.96"/>
    <n v="0"/>
    <n v="51093.548387096773"/>
    <n v="27"/>
    <n v="-26180.04"/>
  </r>
  <r>
    <s v="L0324"/>
    <x v="276"/>
    <s v="B0324"/>
    <x v="8"/>
    <x v="323"/>
    <n v="16.2"/>
    <n v="60"/>
    <x v="0"/>
    <x v="3"/>
    <x v="2"/>
    <x v="321"/>
    <s v="OWN"/>
    <n v="0.22"/>
    <n v="0.64"/>
    <n v="14809.69"/>
    <n v="0"/>
    <n v="19914.0625"/>
    <n v="38"/>
    <n v="2064.6900000000005"/>
  </r>
  <r>
    <s v="L0325"/>
    <x v="277"/>
    <s v="B0325"/>
    <x v="3"/>
    <x v="324"/>
    <n v="8.3000000000000007"/>
    <n v="36"/>
    <x v="1"/>
    <x v="2"/>
    <x v="2"/>
    <x v="322"/>
    <s v="MORTGAGE"/>
    <n v="0.46"/>
    <n v="0.88"/>
    <n v="7993.68"/>
    <n v="0"/>
    <n v="30714.772727272728"/>
    <n v="58"/>
    <n v="-19035.32"/>
  </r>
  <r>
    <s v="L0326"/>
    <x v="278"/>
    <s v="B0326"/>
    <x v="3"/>
    <x v="325"/>
    <n v="17.3"/>
    <n v="36"/>
    <x v="0"/>
    <x v="0"/>
    <x v="2"/>
    <x v="323"/>
    <s v="MORTGAGE"/>
    <n v="0.11"/>
    <n v="0.71"/>
    <n v="16451.32"/>
    <n v="0"/>
    <n v="19753.521126760563"/>
    <n v="36"/>
    <n v="2426.3199999999997"/>
  </r>
  <r>
    <s v="L0327"/>
    <x v="122"/>
    <s v="B0327"/>
    <x v="5"/>
    <x v="326"/>
    <n v="12.3"/>
    <n v="36"/>
    <x v="1"/>
    <x v="5"/>
    <x v="1"/>
    <x v="324"/>
    <s v="OWN"/>
    <n v="0.23"/>
    <n v="0.8"/>
    <n v="5431.36"/>
    <n v="0"/>
    <n v="46405"/>
    <n v="29"/>
    <n v="-31692.639999999999"/>
  </r>
  <r>
    <s v="L0328"/>
    <x v="275"/>
    <s v="B0328"/>
    <x v="6"/>
    <x v="327"/>
    <n v="22.9"/>
    <n v="36"/>
    <x v="0"/>
    <x v="1"/>
    <x v="3"/>
    <x v="325"/>
    <s v="OWN"/>
    <n v="0.32"/>
    <n v="0.68"/>
    <n v="18788.95"/>
    <n v="0"/>
    <n v="22482.352941176468"/>
    <n v="27"/>
    <n v="3500.9500000000007"/>
  </r>
  <r>
    <s v="L0329"/>
    <x v="279"/>
    <s v="B0329"/>
    <x v="3"/>
    <x v="328"/>
    <n v="8.4"/>
    <n v="36"/>
    <x v="0"/>
    <x v="0"/>
    <x v="4"/>
    <x v="326"/>
    <s v="MORTGAGE"/>
    <n v="0.16"/>
    <n v="0.63"/>
    <n v="26720.6"/>
    <n v="0"/>
    <n v="39126.984126984127"/>
    <n v="41"/>
    <n v="2070.5999999999985"/>
  </r>
  <r>
    <s v="L0330"/>
    <x v="280"/>
    <s v="B0330"/>
    <x v="7"/>
    <x v="329"/>
    <n v="15.1"/>
    <n v="60"/>
    <x v="0"/>
    <x v="0"/>
    <x v="3"/>
    <x v="327"/>
    <s v="OWN"/>
    <n v="0.14000000000000001"/>
    <n v="0.78"/>
    <n v="8678.5400000000009"/>
    <n v="0"/>
    <n v="9666.6666666666661"/>
    <n v="45"/>
    <n v="1138.5400000000009"/>
  </r>
  <r>
    <s v="L0331"/>
    <x v="281"/>
    <s v="B0331"/>
    <x v="0"/>
    <x v="330"/>
    <n v="17"/>
    <n v="36"/>
    <x v="0"/>
    <x v="2"/>
    <x v="1"/>
    <x v="328"/>
    <s v="OWN"/>
    <n v="0.43"/>
    <n v="0.56999999999999995"/>
    <n v="38881.440000000002"/>
    <n v="0"/>
    <n v="58301.754385964916"/>
    <n v="36"/>
    <n v="5649.4400000000023"/>
  </r>
  <r>
    <s v="L0332"/>
    <x v="282"/>
    <s v="B0332"/>
    <x v="2"/>
    <x v="331"/>
    <n v="5.7"/>
    <n v="36"/>
    <x v="3"/>
    <x v="3"/>
    <x v="4"/>
    <x v="329"/>
    <s v="OWN"/>
    <n v="0.46"/>
    <n v="0.67"/>
    <n v="4227.59"/>
    <n v="6267.26"/>
    <n v="26002.985074626864"/>
    <n v="44"/>
    <n v="-6927.15"/>
  </r>
  <r>
    <s v="L0333"/>
    <x v="283"/>
    <s v="B0333"/>
    <x v="3"/>
    <x v="332"/>
    <n v="12.3"/>
    <n v="36"/>
    <x v="0"/>
    <x v="3"/>
    <x v="4"/>
    <x v="330"/>
    <s v="MORTGAGE"/>
    <n v="0.43"/>
    <n v="0.59"/>
    <n v="4876.07"/>
    <n v="0"/>
    <n v="7359.3220338983056"/>
    <n v="46"/>
    <n v="534.06999999999971"/>
  </r>
  <r>
    <s v="L0334"/>
    <x v="170"/>
    <s v="B0334"/>
    <x v="5"/>
    <x v="333"/>
    <n v="19.7"/>
    <n v="36"/>
    <x v="1"/>
    <x v="6"/>
    <x v="4"/>
    <x v="331"/>
    <s v="OWN"/>
    <n v="0.46"/>
    <n v="0.81"/>
    <n v="7072.66"/>
    <n v="0"/>
    <n v="45200"/>
    <n v="33"/>
    <n v="-29539.34"/>
  </r>
  <r>
    <s v="L0335"/>
    <x v="284"/>
    <s v="B0335"/>
    <x v="2"/>
    <x v="334"/>
    <n v="21.4"/>
    <n v="36"/>
    <x v="2"/>
    <x v="1"/>
    <x v="0"/>
    <x v="332"/>
    <s v="RENT"/>
    <n v="0.32"/>
    <n v="0.92"/>
    <n v="0"/>
    <n v="0"/>
    <n v="12386.95652173913"/>
    <n v="39"/>
    <n v="-11396"/>
  </r>
  <r>
    <s v="L0336"/>
    <x v="285"/>
    <s v="B0336"/>
    <x v="7"/>
    <x v="335"/>
    <n v="11.3"/>
    <n v="60"/>
    <x v="1"/>
    <x v="4"/>
    <x v="1"/>
    <x v="333"/>
    <s v="RENT"/>
    <n v="0.42"/>
    <n v="0.95"/>
    <n v="3142.25"/>
    <n v="0"/>
    <n v="19454.736842105263"/>
    <n v="43"/>
    <n v="-15339.75"/>
  </r>
  <r>
    <s v="L0337"/>
    <x v="286"/>
    <s v="B0337"/>
    <x v="6"/>
    <x v="336"/>
    <n v="21"/>
    <n v="36"/>
    <x v="0"/>
    <x v="0"/>
    <x v="0"/>
    <x v="334"/>
    <s v="MORTGAGE"/>
    <n v="0.25"/>
    <n v="0.7"/>
    <n v="29537.31"/>
    <n v="0"/>
    <n v="34872.857142857145"/>
    <n v="36"/>
    <n v="5126.3100000000013"/>
  </r>
  <r>
    <s v="L0338"/>
    <x v="0"/>
    <s v="B0338"/>
    <x v="9"/>
    <x v="337"/>
    <n v="24.4"/>
    <n v="36"/>
    <x v="3"/>
    <x v="0"/>
    <x v="4"/>
    <x v="335"/>
    <s v="OWN"/>
    <n v="0.37"/>
    <n v="0.61"/>
    <n v="5563.15"/>
    <n v="3087.26"/>
    <n v="23378.688524590165"/>
    <n v="34"/>
    <n v="-5610.59"/>
  </r>
  <r>
    <s v="L0339"/>
    <x v="141"/>
    <s v="B0339"/>
    <x v="8"/>
    <x v="338"/>
    <n v="22.1"/>
    <n v="36"/>
    <x v="0"/>
    <x v="1"/>
    <x v="0"/>
    <x v="336"/>
    <s v="RENT"/>
    <n v="0.5"/>
    <n v="0.7"/>
    <n v="4997.55"/>
    <n v="0"/>
    <n v="5847.1428571428578"/>
    <n v="54"/>
    <n v="904.55000000000018"/>
  </r>
  <r>
    <s v="L0340"/>
    <x v="287"/>
    <s v="B0340"/>
    <x v="7"/>
    <x v="339"/>
    <n v="7.4"/>
    <n v="60"/>
    <x v="0"/>
    <x v="6"/>
    <x v="0"/>
    <x v="123"/>
    <s v="MORTGAGE"/>
    <n v="0.19"/>
    <n v="0.88"/>
    <n v="13663.43"/>
    <n v="0"/>
    <n v="14456.818181818182"/>
    <n v="57"/>
    <n v="941.43000000000029"/>
  </r>
  <r>
    <s v="L0341"/>
    <x v="288"/>
    <s v="B0341"/>
    <x v="4"/>
    <x v="340"/>
    <n v="19.8"/>
    <n v="60"/>
    <x v="3"/>
    <x v="6"/>
    <x v="1"/>
    <x v="337"/>
    <s v="RENT"/>
    <n v="0.26"/>
    <n v="0.59"/>
    <n v="3410.73"/>
    <n v="2992.03"/>
    <n v="39054.237288135599"/>
    <n v="29"/>
    <n v="-16639.239999999998"/>
  </r>
  <r>
    <s v="L0342"/>
    <x v="289"/>
    <s v="B0342"/>
    <x v="1"/>
    <x v="341"/>
    <n v="11.4"/>
    <n v="60"/>
    <x v="1"/>
    <x v="2"/>
    <x v="2"/>
    <x v="338"/>
    <s v="OWN"/>
    <n v="0.28999999999999998"/>
    <n v="0.93"/>
    <n v="11759.78"/>
    <n v="0"/>
    <n v="31276.344086021505"/>
    <n v="39"/>
    <n v="-17327.22"/>
  </r>
  <r>
    <s v="L0343"/>
    <x v="290"/>
    <s v="B0343"/>
    <x v="5"/>
    <x v="342"/>
    <n v="24.8"/>
    <n v="36"/>
    <x v="0"/>
    <x v="6"/>
    <x v="0"/>
    <x v="339"/>
    <s v="MORTGAGE"/>
    <n v="0.16"/>
    <n v="0.65"/>
    <n v="41617.06"/>
    <n v="0"/>
    <n v="51303.076923076922"/>
    <n v="26"/>
    <n v="8270.0599999999977"/>
  </r>
  <r>
    <s v="L0344"/>
    <x v="291"/>
    <s v="B0344"/>
    <x v="8"/>
    <x v="343"/>
    <n v="14.7"/>
    <n v="60"/>
    <x v="0"/>
    <x v="3"/>
    <x v="0"/>
    <x v="340"/>
    <s v="RENT"/>
    <n v="0.13"/>
    <n v="0.94"/>
    <n v="39865.129999999997"/>
    <n v="0"/>
    <n v="36974.468085106382"/>
    <n v="27"/>
    <n v="5109.1299999999974"/>
  </r>
  <r>
    <s v="L0345"/>
    <x v="292"/>
    <s v="B0345"/>
    <x v="4"/>
    <x v="344"/>
    <n v="7.4"/>
    <n v="36"/>
    <x v="0"/>
    <x v="0"/>
    <x v="4"/>
    <x v="341"/>
    <s v="MORTGAGE"/>
    <n v="0.43"/>
    <n v="0.88"/>
    <n v="18617.79"/>
    <n v="0"/>
    <n v="19698.863636363636"/>
    <n v="29"/>
    <n v="1282.7900000000009"/>
  </r>
  <r>
    <s v="L0346"/>
    <x v="293"/>
    <s v="B0346"/>
    <x v="9"/>
    <x v="345"/>
    <n v="19.5"/>
    <n v="36"/>
    <x v="0"/>
    <x v="1"/>
    <x v="4"/>
    <x v="342"/>
    <s v="RENT"/>
    <n v="0.49"/>
    <n v="0.86"/>
    <n v="35374.39"/>
    <n v="0"/>
    <n v="34420.930232558138"/>
    <n v="59"/>
    <n v="5772.3899999999994"/>
  </r>
  <r>
    <s v="L0347"/>
    <x v="25"/>
    <s v="B0347"/>
    <x v="4"/>
    <x v="346"/>
    <n v="11.5"/>
    <n v="60"/>
    <x v="0"/>
    <x v="5"/>
    <x v="4"/>
    <x v="343"/>
    <s v="RENT"/>
    <n v="0.26"/>
    <n v="0.64"/>
    <n v="39526.75"/>
    <n v="0"/>
    <n v="55390.625"/>
    <n v="31"/>
    <n v="4076.75"/>
  </r>
  <r>
    <s v="L0348"/>
    <x v="294"/>
    <s v="B0348"/>
    <x v="6"/>
    <x v="347"/>
    <n v="24.9"/>
    <n v="36"/>
    <x v="2"/>
    <x v="4"/>
    <x v="3"/>
    <x v="344"/>
    <s v="OWN"/>
    <n v="0.14000000000000001"/>
    <n v="0.5"/>
    <n v="0"/>
    <n v="0"/>
    <n v="66392"/>
    <n v="29"/>
    <n v="-33196"/>
  </r>
  <r>
    <s v="L0349"/>
    <x v="172"/>
    <s v="B0349"/>
    <x v="1"/>
    <x v="348"/>
    <n v="24.6"/>
    <n v="36"/>
    <x v="3"/>
    <x v="3"/>
    <x v="0"/>
    <x v="345"/>
    <s v="OWN"/>
    <n v="0.13"/>
    <n v="0.67"/>
    <n v="2618.92"/>
    <n v="2120.33"/>
    <n v="9889.552238805969"/>
    <n v="47"/>
    <n v="-1886.75"/>
  </r>
  <r>
    <s v="L0350"/>
    <x v="295"/>
    <s v="B0350"/>
    <x v="2"/>
    <x v="349"/>
    <n v="18.100000000000001"/>
    <n v="36"/>
    <x v="3"/>
    <x v="2"/>
    <x v="4"/>
    <x v="346"/>
    <s v="RENT"/>
    <n v="0.46"/>
    <n v="0.64"/>
    <n v="892.7"/>
    <n v="1919.6"/>
    <n v="13162.5"/>
    <n v="32"/>
    <n v="-5611.7"/>
  </r>
  <r>
    <s v="L0351"/>
    <x v="296"/>
    <s v="B0351"/>
    <x v="8"/>
    <x v="350"/>
    <n v="7.6"/>
    <n v="60"/>
    <x v="0"/>
    <x v="0"/>
    <x v="1"/>
    <x v="347"/>
    <s v="MORTGAGE"/>
    <n v="0.28999999999999998"/>
    <n v="0.52"/>
    <n v="14910.13"/>
    <n v="0"/>
    <n v="26648.076923076922"/>
    <n v="55"/>
    <n v="1053.1299999999992"/>
  </r>
  <r>
    <s v="L0352"/>
    <x v="297"/>
    <s v="B0352"/>
    <x v="1"/>
    <x v="351"/>
    <n v="18.7"/>
    <n v="36"/>
    <x v="1"/>
    <x v="0"/>
    <x v="3"/>
    <x v="348"/>
    <s v="MORTGAGE"/>
    <n v="0.23"/>
    <n v="0.73"/>
    <n v="7649.25"/>
    <n v="0"/>
    <n v="28742.465753424658"/>
    <n v="47"/>
    <n v="-13332.75"/>
  </r>
  <r>
    <s v="L0353"/>
    <x v="298"/>
    <s v="B0353"/>
    <x v="0"/>
    <x v="352"/>
    <n v="6.9"/>
    <n v="36"/>
    <x v="3"/>
    <x v="1"/>
    <x v="2"/>
    <x v="349"/>
    <s v="OWN"/>
    <n v="0.28999999999999998"/>
    <n v="0.68"/>
    <n v="2185.23"/>
    <n v="5996.91"/>
    <n v="18272.058823529409"/>
    <n v="48"/>
    <n v="-4242.8600000000006"/>
  </r>
  <r>
    <s v="L0354"/>
    <x v="299"/>
    <s v="B0354"/>
    <x v="7"/>
    <x v="353"/>
    <n v="5.6"/>
    <n v="60"/>
    <x v="3"/>
    <x v="5"/>
    <x v="0"/>
    <x v="350"/>
    <s v="RENT"/>
    <n v="0.23"/>
    <n v="0.79"/>
    <n v="334.2"/>
    <n v="420.5"/>
    <n v="3772.1518987341769"/>
    <n v="51"/>
    <n v="-2225.3000000000002"/>
  </r>
  <r>
    <s v="L0355"/>
    <x v="162"/>
    <s v="B0355"/>
    <x v="0"/>
    <x v="354"/>
    <n v="21.5"/>
    <n v="36"/>
    <x v="0"/>
    <x v="2"/>
    <x v="0"/>
    <x v="351"/>
    <s v="OWN"/>
    <n v="0.3"/>
    <n v="0.78"/>
    <n v="33328.660000000003"/>
    <n v="0"/>
    <n v="35167.948717948719"/>
    <n v="44"/>
    <n v="5897.6600000000035"/>
  </r>
  <r>
    <s v="L0356"/>
    <x v="300"/>
    <s v="B0356"/>
    <x v="7"/>
    <x v="355"/>
    <n v="9.1999999999999993"/>
    <n v="36"/>
    <x v="0"/>
    <x v="0"/>
    <x v="1"/>
    <x v="352"/>
    <s v="RENT"/>
    <n v="0.44"/>
    <n v="0.55000000000000004"/>
    <n v="22320.48"/>
    <n v="0"/>
    <n v="37163.63636363636"/>
    <n v="50"/>
    <n v="1880.4799999999996"/>
  </r>
  <r>
    <s v="L0357"/>
    <x v="301"/>
    <s v="B0357"/>
    <x v="6"/>
    <x v="356"/>
    <n v="12.6"/>
    <n v="60"/>
    <x v="0"/>
    <x v="0"/>
    <x v="2"/>
    <x v="353"/>
    <s v="RENT"/>
    <n v="0.34"/>
    <n v="0.94"/>
    <n v="20465.05"/>
    <n v="0"/>
    <n v="19335.106382978724"/>
    <n v="61"/>
    <n v="2290.0499999999993"/>
  </r>
  <r>
    <s v="L0358"/>
    <x v="302"/>
    <s v="B0358"/>
    <x v="1"/>
    <x v="357"/>
    <n v="24.5"/>
    <n v="36"/>
    <x v="1"/>
    <x v="4"/>
    <x v="2"/>
    <x v="354"/>
    <s v="OWN"/>
    <n v="0.38"/>
    <n v="0.57999999999999996"/>
    <n v="6334.16"/>
    <n v="0"/>
    <n v="47215.517241379312"/>
    <n v="45"/>
    <n v="-21050.84"/>
  </r>
  <r>
    <s v="L0359"/>
    <x v="281"/>
    <s v="B0359"/>
    <x v="9"/>
    <x v="358"/>
    <n v="11.7"/>
    <n v="36"/>
    <x v="1"/>
    <x v="0"/>
    <x v="3"/>
    <x v="355"/>
    <s v="MORTGAGE"/>
    <n v="0.25"/>
    <n v="0.7"/>
    <n v="18437.47"/>
    <n v="0"/>
    <n v="55940"/>
    <n v="36"/>
    <n v="-20720.53"/>
  </r>
  <r>
    <s v="L0360"/>
    <x v="303"/>
    <s v="B0360"/>
    <x v="3"/>
    <x v="359"/>
    <n v="10.9"/>
    <n v="36"/>
    <x v="1"/>
    <x v="0"/>
    <x v="0"/>
    <x v="356"/>
    <s v="OWN"/>
    <n v="0.4"/>
    <n v="0.72"/>
    <n v="1328.11"/>
    <n v="0"/>
    <n v="33359.722222222226"/>
    <n v="37"/>
    <n v="-22690.89"/>
  </r>
  <r>
    <s v="L0361"/>
    <x v="132"/>
    <s v="B0361"/>
    <x v="4"/>
    <x v="360"/>
    <n v="23.4"/>
    <n v="36"/>
    <x v="0"/>
    <x v="2"/>
    <x v="4"/>
    <x v="357"/>
    <s v="RENT"/>
    <n v="0.37"/>
    <n v="0.87"/>
    <n v="24234.53"/>
    <n v="0"/>
    <n v="22573.563218390806"/>
    <n v="48"/>
    <n v="4595.5299999999988"/>
  </r>
  <r>
    <s v="L0362"/>
    <x v="304"/>
    <s v="B0362"/>
    <x v="3"/>
    <x v="361"/>
    <n v="7.2"/>
    <n v="36"/>
    <x v="0"/>
    <x v="4"/>
    <x v="1"/>
    <x v="358"/>
    <s v="OWN"/>
    <n v="0.15"/>
    <n v="0.54"/>
    <n v="22505.57"/>
    <n v="0"/>
    <n v="38877.777777777774"/>
    <n v="37"/>
    <n v="1511.5699999999997"/>
  </r>
  <r>
    <s v="L0363"/>
    <x v="305"/>
    <s v="B0363"/>
    <x v="1"/>
    <x v="362"/>
    <n v="20.2"/>
    <n v="60"/>
    <x v="0"/>
    <x v="4"/>
    <x v="1"/>
    <x v="359"/>
    <s v="MORTGAGE"/>
    <n v="0.33"/>
    <n v="0.69"/>
    <n v="42520.75"/>
    <n v="0"/>
    <n v="51268.115942028991"/>
    <n v="29"/>
    <n v="7145.75"/>
  </r>
  <r>
    <s v="L0364"/>
    <x v="306"/>
    <s v="B0364"/>
    <x v="0"/>
    <x v="363"/>
    <n v="24.8"/>
    <n v="60"/>
    <x v="0"/>
    <x v="0"/>
    <x v="1"/>
    <x v="360"/>
    <s v="MORTGAGE"/>
    <n v="0.2"/>
    <n v="0.78"/>
    <n v="28158.62"/>
    <n v="0"/>
    <n v="28926.923076923074"/>
    <n v="45"/>
    <n v="5595.619999999999"/>
  </r>
  <r>
    <s v="L0365"/>
    <x v="307"/>
    <s v="B0365"/>
    <x v="3"/>
    <x v="364"/>
    <n v="23"/>
    <n v="60"/>
    <x v="0"/>
    <x v="4"/>
    <x v="1"/>
    <x v="361"/>
    <s v="RENT"/>
    <n v="0.42"/>
    <n v="0.6"/>
    <n v="8334.48"/>
    <n v="0"/>
    <n v="11293.333333333334"/>
    <n v="28"/>
    <n v="1558.4799999999996"/>
  </r>
  <r>
    <s v="L0366"/>
    <x v="64"/>
    <s v="B0366"/>
    <x v="5"/>
    <x v="365"/>
    <n v="18"/>
    <n v="60"/>
    <x v="1"/>
    <x v="6"/>
    <x v="4"/>
    <x v="362"/>
    <s v="OWN"/>
    <n v="0.27"/>
    <n v="0.78"/>
    <n v="11777.96"/>
    <n v="0"/>
    <n v="48005.128205128203"/>
    <n v="36"/>
    <n v="-25666.04"/>
  </r>
  <r>
    <s v="L0367"/>
    <x v="308"/>
    <s v="B0367"/>
    <x v="3"/>
    <x v="366"/>
    <n v="11.3"/>
    <n v="36"/>
    <x v="0"/>
    <x v="5"/>
    <x v="4"/>
    <x v="363"/>
    <s v="MORTGAGE"/>
    <n v="0.5"/>
    <n v="0.92"/>
    <n v="4874.9399999999996"/>
    <n v="0"/>
    <n v="4760.869565217391"/>
    <n v="51"/>
    <n v="494.9399999999996"/>
  </r>
  <r>
    <s v="L0368"/>
    <x v="309"/>
    <s v="B0368"/>
    <x v="7"/>
    <x v="367"/>
    <n v="10.1"/>
    <n v="36"/>
    <x v="1"/>
    <x v="1"/>
    <x v="3"/>
    <x v="364"/>
    <s v="OWN"/>
    <n v="0.14000000000000001"/>
    <n v="0.95"/>
    <n v="2676.63"/>
    <n v="0"/>
    <n v="10222.105263157895"/>
    <n v="54"/>
    <n v="-7034.37"/>
  </r>
  <r>
    <s v="L0369"/>
    <x v="212"/>
    <s v="B0369"/>
    <x v="5"/>
    <x v="368"/>
    <n v="21.4"/>
    <n v="36"/>
    <x v="0"/>
    <x v="4"/>
    <x v="0"/>
    <x v="365"/>
    <s v="MORTGAGE"/>
    <n v="0.41"/>
    <n v="0.51"/>
    <n v="11875.35"/>
    <n v="0"/>
    <n v="19180.392156862745"/>
    <n v="46"/>
    <n v="2093.3500000000004"/>
  </r>
  <r>
    <s v="L0370"/>
    <x v="310"/>
    <s v="B0370"/>
    <x v="8"/>
    <x v="369"/>
    <n v="22.6"/>
    <n v="36"/>
    <x v="0"/>
    <x v="4"/>
    <x v="4"/>
    <x v="366"/>
    <s v="RENT"/>
    <n v="0.37"/>
    <n v="0.61"/>
    <n v="22600.080000000002"/>
    <n v="0"/>
    <n v="30219.672131147541"/>
    <n v="33"/>
    <n v="4166.0800000000017"/>
  </r>
  <r>
    <s v="L0371"/>
    <x v="311"/>
    <s v="B0371"/>
    <x v="3"/>
    <x v="370"/>
    <n v="15.5"/>
    <n v="36"/>
    <x v="0"/>
    <x v="5"/>
    <x v="3"/>
    <x v="367"/>
    <s v="RENT"/>
    <n v="0.41"/>
    <n v="0.64"/>
    <n v="24274.639999999999"/>
    <n v="0"/>
    <n v="32839.0625"/>
    <n v="57"/>
    <n v="3257.6399999999994"/>
  </r>
  <r>
    <s v="L0372"/>
    <x v="312"/>
    <s v="B0372"/>
    <x v="5"/>
    <x v="371"/>
    <n v="9.9"/>
    <n v="60"/>
    <x v="3"/>
    <x v="4"/>
    <x v="2"/>
    <x v="368"/>
    <s v="OWN"/>
    <n v="0.22"/>
    <n v="0.68"/>
    <n v="11478.42"/>
    <n v="11714.89"/>
    <n v="46627.941176470587"/>
    <n v="34"/>
    <n v="-8513.6900000000023"/>
  </r>
  <r>
    <s v="L0373"/>
    <x v="313"/>
    <s v="B0373"/>
    <x v="1"/>
    <x v="372"/>
    <n v="7.3"/>
    <n v="60"/>
    <x v="0"/>
    <x v="6"/>
    <x v="0"/>
    <x v="369"/>
    <s v="RENT"/>
    <n v="0.3"/>
    <n v="0.61"/>
    <n v="19682.04"/>
    <n v="0"/>
    <n v="30070.491803278688"/>
    <n v="39"/>
    <n v="1339.0400000000009"/>
  </r>
  <r>
    <s v="L0374"/>
    <x v="68"/>
    <s v="B0374"/>
    <x v="4"/>
    <x v="373"/>
    <n v="6.7"/>
    <n v="36"/>
    <x v="1"/>
    <x v="4"/>
    <x v="4"/>
    <x v="370"/>
    <s v="MORTGAGE"/>
    <n v="0.42"/>
    <n v="0.59"/>
    <n v="3496.84"/>
    <n v="0"/>
    <n v="67503.389830508473"/>
    <n v="50"/>
    <n v="-36330.160000000003"/>
  </r>
  <r>
    <s v="L0375"/>
    <x v="187"/>
    <s v="B0375"/>
    <x v="8"/>
    <x v="374"/>
    <n v="19.399999999999999"/>
    <n v="36"/>
    <x v="0"/>
    <x v="1"/>
    <x v="2"/>
    <x v="371"/>
    <s v="RENT"/>
    <n v="0.19"/>
    <n v="0.93"/>
    <n v="7946.07"/>
    <n v="0"/>
    <n v="7155.9139784946237"/>
    <n v="31"/>
    <n v="1291.0699999999997"/>
  </r>
  <r>
    <s v="L0376"/>
    <x v="314"/>
    <s v="B0376"/>
    <x v="9"/>
    <x v="375"/>
    <n v="13.4"/>
    <n v="36"/>
    <x v="3"/>
    <x v="0"/>
    <x v="3"/>
    <x v="372"/>
    <s v="MORTGAGE"/>
    <n v="0.19"/>
    <n v="0.91"/>
    <n v="4947.74"/>
    <n v="1644.69"/>
    <n v="17858.241758241758"/>
    <n v="39"/>
    <n v="-9658.57"/>
  </r>
  <r>
    <s v="L0377"/>
    <x v="315"/>
    <s v="B0377"/>
    <x v="9"/>
    <x v="376"/>
    <n v="23.1"/>
    <n v="60"/>
    <x v="1"/>
    <x v="1"/>
    <x v="4"/>
    <x v="373"/>
    <s v="MORTGAGE"/>
    <n v="0.32"/>
    <n v="0.52"/>
    <n v="543.33000000000004"/>
    <n v="0"/>
    <n v="2934.6153846153843"/>
    <n v="27"/>
    <n v="-982.67"/>
  </r>
  <r>
    <s v="L0378"/>
    <x v="316"/>
    <s v="B0378"/>
    <x v="6"/>
    <x v="377"/>
    <n v="19.8"/>
    <n v="36"/>
    <x v="0"/>
    <x v="2"/>
    <x v="4"/>
    <x v="374"/>
    <s v="RENT"/>
    <n v="0.31"/>
    <n v="0.65"/>
    <n v="5060.3500000000004"/>
    <n v="0"/>
    <n v="6498.4615384615381"/>
    <n v="53"/>
    <n v="836.35000000000036"/>
  </r>
  <r>
    <s v="L0379"/>
    <x v="317"/>
    <s v="B0379"/>
    <x v="3"/>
    <x v="378"/>
    <n v="8.8000000000000007"/>
    <n v="36"/>
    <x v="1"/>
    <x v="5"/>
    <x v="2"/>
    <x v="375"/>
    <s v="MORTGAGE"/>
    <n v="0.21"/>
    <n v="0.68"/>
    <n v="4401.21"/>
    <n v="0"/>
    <n v="18435.294117647056"/>
    <n v="49"/>
    <n v="-8134.79"/>
  </r>
  <r>
    <s v="L0380"/>
    <x v="318"/>
    <s v="B0380"/>
    <x v="4"/>
    <x v="379"/>
    <n v="17.3"/>
    <n v="36"/>
    <x v="0"/>
    <x v="5"/>
    <x v="4"/>
    <x v="376"/>
    <s v="MORTGAGE"/>
    <n v="0.22"/>
    <n v="0.61"/>
    <n v="34651.589999999997"/>
    <n v="0"/>
    <n v="48427.868852459018"/>
    <n v="62"/>
    <n v="5110.5899999999965"/>
  </r>
  <r>
    <s v="L0381"/>
    <x v="319"/>
    <s v="B0381"/>
    <x v="2"/>
    <x v="380"/>
    <n v="13.7"/>
    <n v="60"/>
    <x v="3"/>
    <x v="3"/>
    <x v="1"/>
    <x v="377"/>
    <s v="OWN"/>
    <n v="0.21"/>
    <n v="0.78"/>
    <n v="5567.14"/>
    <n v="1935.32"/>
    <n v="18650"/>
    <n v="46"/>
    <n v="-7044.54"/>
  </r>
  <r>
    <s v="L0382"/>
    <x v="320"/>
    <s v="B0382"/>
    <x v="5"/>
    <x v="381"/>
    <n v="16.5"/>
    <n v="36"/>
    <x v="0"/>
    <x v="5"/>
    <x v="4"/>
    <x v="378"/>
    <s v="OWN"/>
    <n v="0.41"/>
    <n v="0.79"/>
    <n v="41393.620000000003"/>
    <n v="0"/>
    <n v="44975.949367088608"/>
    <n v="37"/>
    <n v="5862.6200000000026"/>
  </r>
  <r>
    <s v="L0383"/>
    <x v="44"/>
    <s v="B0383"/>
    <x v="8"/>
    <x v="382"/>
    <n v="19.8"/>
    <n v="60"/>
    <x v="0"/>
    <x v="4"/>
    <x v="0"/>
    <x v="379"/>
    <s v="OWN"/>
    <n v="0.36"/>
    <n v="0.88"/>
    <n v="11634.98"/>
    <n v="0"/>
    <n v="11036.363636363636"/>
    <n v="61"/>
    <n v="1922.9799999999996"/>
  </r>
  <r>
    <s v="L0384"/>
    <x v="248"/>
    <s v="B0384"/>
    <x v="1"/>
    <x v="383"/>
    <n v="21.1"/>
    <n v="60"/>
    <x v="1"/>
    <x v="4"/>
    <x v="2"/>
    <x v="380"/>
    <s v="RENT"/>
    <n v="0.43"/>
    <n v="0.83"/>
    <n v="16632.71"/>
    <n v="0"/>
    <n v="47668.674698795185"/>
    <n v="38"/>
    <n v="-22932.29"/>
  </r>
  <r>
    <s v="L0385"/>
    <x v="321"/>
    <s v="B0385"/>
    <x v="3"/>
    <x v="384"/>
    <n v="21.9"/>
    <n v="60"/>
    <x v="1"/>
    <x v="1"/>
    <x v="0"/>
    <x v="381"/>
    <s v="OWN"/>
    <n v="0.49"/>
    <n v="0.74"/>
    <n v="703.21"/>
    <n v="0"/>
    <n v="13794.594594594595"/>
    <n v="34"/>
    <n v="-9504.7900000000009"/>
  </r>
  <r>
    <s v="L0386"/>
    <x v="322"/>
    <s v="B0386"/>
    <x v="1"/>
    <x v="385"/>
    <n v="10.1"/>
    <n v="60"/>
    <x v="0"/>
    <x v="1"/>
    <x v="3"/>
    <x v="382"/>
    <s v="MORTGAGE"/>
    <n v="0.28999999999999998"/>
    <n v="0.79"/>
    <n v="6726.01"/>
    <n v="0"/>
    <n v="7732.9113924050625"/>
    <n v="59"/>
    <n v="617.01000000000022"/>
  </r>
  <r>
    <s v="L0387"/>
    <x v="43"/>
    <s v="B0387"/>
    <x v="2"/>
    <x v="386"/>
    <n v="5.6"/>
    <n v="60"/>
    <x v="1"/>
    <x v="4"/>
    <x v="0"/>
    <x v="383"/>
    <s v="RENT"/>
    <n v="0.13"/>
    <n v="0.62"/>
    <n v="9484.2000000000007"/>
    <n v="0"/>
    <n v="58388.709677419356"/>
    <n v="37"/>
    <n v="-26716.799999999999"/>
  </r>
  <r>
    <s v="L0388"/>
    <x v="323"/>
    <s v="B0388"/>
    <x v="6"/>
    <x v="387"/>
    <n v="19.8"/>
    <n v="60"/>
    <x v="0"/>
    <x v="4"/>
    <x v="1"/>
    <x v="384"/>
    <s v="RENT"/>
    <n v="0.12"/>
    <n v="0.77"/>
    <n v="21524.47"/>
    <n v="0"/>
    <n v="23333.766233766233"/>
    <n v="42"/>
    <n v="3557.4700000000012"/>
  </r>
  <r>
    <s v="L0389"/>
    <x v="324"/>
    <s v="B0389"/>
    <x v="2"/>
    <x v="388"/>
    <n v="7.1"/>
    <n v="36"/>
    <x v="0"/>
    <x v="3"/>
    <x v="1"/>
    <x v="385"/>
    <s v="RENT"/>
    <n v="0.22"/>
    <n v="0.72"/>
    <n v="32942.89"/>
    <n v="0"/>
    <n v="42720.833333333336"/>
    <n v="30"/>
    <n v="2183.8899999999994"/>
  </r>
  <r>
    <s v="L0390"/>
    <x v="47"/>
    <s v="B0390"/>
    <x v="7"/>
    <x v="389"/>
    <n v="11.3"/>
    <n v="36"/>
    <x v="1"/>
    <x v="0"/>
    <x v="0"/>
    <x v="386"/>
    <s v="RENT"/>
    <n v="0.47"/>
    <n v="0.56000000000000005"/>
    <n v="4850.0600000000004"/>
    <n v="0"/>
    <n v="37807.142857142855"/>
    <n v="29"/>
    <n v="-16321.939999999999"/>
  </r>
  <r>
    <s v="L0391"/>
    <x v="325"/>
    <s v="B0391"/>
    <x v="0"/>
    <x v="390"/>
    <n v="5.0999999999999996"/>
    <n v="36"/>
    <x v="0"/>
    <x v="4"/>
    <x v="3"/>
    <x v="387"/>
    <s v="MORTGAGE"/>
    <n v="0.31"/>
    <n v="0.61"/>
    <n v="39869.68"/>
    <n v="0"/>
    <n v="62188.524590163935"/>
    <n v="48"/>
    <n v="1934.6800000000003"/>
  </r>
  <r>
    <s v="L0392"/>
    <x v="326"/>
    <s v="B0392"/>
    <x v="8"/>
    <x v="391"/>
    <n v="18.600000000000001"/>
    <n v="60"/>
    <x v="0"/>
    <x v="0"/>
    <x v="4"/>
    <x v="388"/>
    <s v="MORTGAGE"/>
    <n v="0.21"/>
    <n v="0.63"/>
    <n v="32720.55"/>
    <n v="0"/>
    <n v="43792.063492063491"/>
    <n v="58"/>
    <n v="5131.5499999999993"/>
  </r>
  <r>
    <s v="L0393"/>
    <x v="327"/>
    <s v="B0393"/>
    <x v="0"/>
    <x v="392"/>
    <n v="8.3000000000000007"/>
    <n v="36"/>
    <x v="1"/>
    <x v="6"/>
    <x v="1"/>
    <x v="389"/>
    <s v="OWN"/>
    <n v="0.26"/>
    <n v="0.92"/>
    <n v="5879.4"/>
    <n v="0"/>
    <n v="33711.956521739128"/>
    <n v="42"/>
    <n v="-25135.599999999999"/>
  </r>
  <r>
    <s v="L0394"/>
    <x v="328"/>
    <s v="B0394"/>
    <x v="2"/>
    <x v="393"/>
    <n v="18.100000000000001"/>
    <n v="60"/>
    <x v="0"/>
    <x v="0"/>
    <x v="0"/>
    <x v="390"/>
    <s v="RENT"/>
    <n v="0.34"/>
    <n v="0.6"/>
    <n v="35440.629999999997"/>
    <n v="0"/>
    <n v="50015"/>
    <n v="35"/>
    <n v="5431.6299999999974"/>
  </r>
  <r>
    <s v="L0395"/>
    <x v="329"/>
    <s v="B0395"/>
    <x v="6"/>
    <x v="394"/>
    <n v="24.8"/>
    <n v="60"/>
    <x v="1"/>
    <x v="1"/>
    <x v="0"/>
    <x v="391"/>
    <s v="OWN"/>
    <n v="0.36"/>
    <n v="0.63"/>
    <n v="4751.47"/>
    <n v="0"/>
    <n v="29798.4126984127"/>
    <n v="49"/>
    <n v="-14021.529999999999"/>
  </r>
  <r>
    <s v="L0396"/>
    <x v="330"/>
    <s v="B0396"/>
    <x v="6"/>
    <x v="395"/>
    <n v="6.5"/>
    <n v="60"/>
    <x v="0"/>
    <x v="0"/>
    <x v="0"/>
    <x v="392"/>
    <s v="MORTGAGE"/>
    <n v="0.16"/>
    <n v="0.67"/>
    <n v="28907.3"/>
    <n v="0"/>
    <n v="40511.940298507463"/>
    <n v="38"/>
    <n v="1764.2999999999993"/>
  </r>
  <r>
    <s v="L0397"/>
    <x v="112"/>
    <s v="B0397"/>
    <x v="9"/>
    <x v="396"/>
    <n v="6.5"/>
    <n v="36"/>
    <x v="0"/>
    <x v="1"/>
    <x v="4"/>
    <x v="393"/>
    <s v="RENT"/>
    <n v="0.49"/>
    <n v="0.8"/>
    <n v="7619.01"/>
    <n v="0"/>
    <n v="8942.5"/>
    <n v="29"/>
    <n v="465.01000000000022"/>
  </r>
  <r>
    <s v="L0398"/>
    <x v="331"/>
    <s v="B0398"/>
    <x v="3"/>
    <x v="397"/>
    <n v="11.8"/>
    <n v="60"/>
    <x v="0"/>
    <x v="6"/>
    <x v="2"/>
    <x v="394"/>
    <s v="MORTGAGE"/>
    <n v="0.32"/>
    <n v="0.55000000000000004"/>
    <n v="25494.87"/>
    <n v="0"/>
    <n v="41461.818181818177"/>
    <n v="37"/>
    <n v="2690.869999999999"/>
  </r>
  <r>
    <s v="L0399"/>
    <x v="332"/>
    <s v="B0399"/>
    <x v="9"/>
    <x v="64"/>
    <n v="22.3"/>
    <n v="60"/>
    <x v="1"/>
    <x v="4"/>
    <x v="3"/>
    <x v="395"/>
    <s v="OWN"/>
    <n v="0.15"/>
    <n v="0.93"/>
    <n v="4810.13"/>
    <n v="0"/>
    <n v="23205.37634408602"/>
    <n v="40"/>
    <n v="-16770.87"/>
  </r>
  <r>
    <s v="L0400"/>
    <x v="333"/>
    <s v="B0400"/>
    <x v="8"/>
    <x v="398"/>
    <n v="9.3000000000000007"/>
    <n v="36"/>
    <x v="1"/>
    <x v="5"/>
    <x v="2"/>
    <x v="396"/>
    <s v="MORTGAGE"/>
    <n v="0.46"/>
    <n v="0.89"/>
    <n v="7602.33"/>
    <n v="0"/>
    <n v="34929.213483146064"/>
    <n v="47"/>
    <n v="-23484.67"/>
  </r>
  <r>
    <s v="L0401"/>
    <x v="334"/>
    <s v="B0401"/>
    <x v="8"/>
    <x v="399"/>
    <n v="12.2"/>
    <n v="36"/>
    <x v="0"/>
    <x v="4"/>
    <x v="3"/>
    <x v="397"/>
    <s v="RENT"/>
    <n v="0.13"/>
    <n v="0.76"/>
    <n v="38126.68"/>
    <n v="0"/>
    <n v="44711.84210526316"/>
    <n v="32"/>
    <n v="4145.68"/>
  </r>
  <r>
    <s v="L0402"/>
    <x v="335"/>
    <s v="B0402"/>
    <x v="8"/>
    <x v="400"/>
    <n v="6.4"/>
    <n v="60"/>
    <x v="0"/>
    <x v="4"/>
    <x v="3"/>
    <x v="398"/>
    <s v="RENT"/>
    <n v="0.46"/>
    <n v="0.8"/>
    <n v="5066.7700000000004"/>
    <n v="0"/>
    <n v="5952.5"/>
    <n v="56"/>
    <n v="304.77000000000044"/>
  </r>
  <r>
    <s v="L0403"/>
    <x v="336"/>
    <s v="B0403"/>
    <x v="1"/>
    <x v="401"/>
    <n v="20.3"/>
    <n v="60"/>
    <x v="3"/>
    <x v="6"/>
    <x v="0"/>
    <x v="399"/>
    <s v="OWN"/>
    <n v="0.5"/>
    <n v="0.51"/>
    <n v="4240.21"/>
    <n v="804.81"/>
    <n v="21113.725490196077"/>
    <n v="38"/>
    <n v="-5722.98"/>
  </r>
  <r>
    <s v="L0404"/>
    <x v="337"/>
    <s v="B0404"/>
    <x v="9"/>
    <x v="402"/>
    <n v="13.2"/>
    <n v="36"/>
    <x v="0"/>
    <x v="4"/>
    <x v="1"/>
    <x v="400"/>
    <s v="RENT"/>
    <n v="0.38"/>
    <n v="0.65"/>
    <n v="44780.79"/>
    <n v="0"/>
    <n v="60860"/>
    <n v="30"/>
    <n v="5221.7900000000009"/>
  </r>
  <r>
    <s v="L0405"/>
    <x v="292"/>
    <s v="B0405"/>
    <x v="1"/>
    <x v="403"/>
    <n v="20.2"/>
    <n v="36"/>
    <x v="3"/>
    <x v="1"/>
    <x v="0"/>
    <x v="401"/>
    <s v="MORTGAGE"/>
    <n v="0.41"/>
    <n v="0.86"/>
    <n v="1238.43"/>
    <n v="3866.9"/>
    <n v="11375.581395348838"/>
    <n v="29"/>
    <n v="-4677.67"/>
  </r>
  <r>
    <s v="L0406"/>
    <x v="113"/>
    <s v="B0406"/>
    <x v="0"/>
    <x v="404"/>
    <n v="23.1"/>
    <n v="36"/>
    <x v="0"/>
    <x v="0"/>
    <x v="4"/>
    <x v="402"/>
    <s v="MORTGAGE"/>
    <n v="0.23"/>
    <n v="0.53"/>
    <n v="37891.410000000003"/>
    <n v="0"/>
    <n v="58077.358490566032"/>
    <n v="59"/>
    <n v="7110.4100000000035"/>
  </r>
  <r>
    <s v="L0407"/>
    <x v="338"/>
    <s v="B0407"/>
    <x v="3"/>
    <x v="405"/>
    <n v="9.6999999999999993"/>
    <n v="60"/>
    <x v="1"/>
    <x v="0"/>
    <x v="3"/>
    <x v="403"/>
    <s v="MORTGAGE"/>
    <n v="0.48"/>
    <n v="0.63"/>
    <n v="14792.24"/>
    <n v="0"/>
    <n v="50493.650793650791"/>
    <n v="40"/>
    <n v="-17018.760000000002"/>
  </r>
  <r>
    <s v="L0408"/>
    <x v="339"/>
    <s v="B0408"/>
    <x v="2"/>
    <x v="406"/>
    <n v="21.1"/>
    <n v="36"/>
    <x v="0"/>
    <x v="4"/>
    <x v="1"/>
    <x v="404"/>
    <s v="MORTGAGE"/>
    <n v="0.31"/>
    <n v="0.76"/>
    <n v="44186.97"/>
    <n v="0"/>
    <n v="48010.526315789473"/>
    <n v="61"/>
    <n v="7698.9700000000012"/>
  </r>
  <r>
    <s v="L0409"/>
    <x v="340"/>
    <s v="B0409"/>
    <x v="5"/>
    <x v="407"/>
    <n v="6.2"/>
    <n v="36"/>
    <x v="3"/>
    <x v="5"/>
    <x v="3"/>
    <x v="405"/>
    <s v="OWN"/>
    <n v="0.39"/>
    <n v="0.62"/>
    <n v="2417.52"/>
    <n v="3932.05"/>
    <n v="15975.806451612903"/>
    <n v="53"/>
    <n v="-3555.4300000000003"/>
  </r>
  <r>
    <s v="L0410"/>
    <x v="65"/>
    <s v="B0410"/>
    <x v="9"/>
    <x v="408"/>
    <n v="23"/>
    <n v="36"/>
    <x v="1"/>
    <x v="5"/>
    <x v="3"/>
    <x v="406"/>
    <s v="MORTGAGE"/>
    <n v="0.47"/>
    <n v="0.92"/>
    <n v="3348.84"/>
    <n v="0"/>
    <n v="11007.608695652174"/>
    <n v="55"/>
    <n v="-6778.16"/>
  </r>
  <r>
    <s v="L0411"/>
    <x v="265"/>
    <s v="B0411"/>
    <x v="5"/>
    <x v="409"/>
    <n v="18"/>
    <n v="60"/>
    <x v="0"/>
    <x v="1"/>
    <x v="0"/>
    <x v="407"/>
    <s v="OWN"/>
    <n v="0.49"/>
    <n v="0.56000000000000005"/>
    <n v="27648.58"/>
    <n v="0"/>
    <n v="41841.071428571428"/>
    <n v="34"/>
    <n v="4217.5800000000017"/>
  </r>
  <r>
    <s v="L0412"/>
    <x v="341"/>
    <s v="B0412"/>
    <x v="6"/>
    <x v="410"/>
    <n v="22.5"/>
    <n v="36"/>
    <x v="0"/>
    <x v="0"/>
    <x v="1"/>
    <x v="408"/>
    <s v="MORTGAGE"/>
    <n v="0.43"/>
    <n v="0.86"/>
    <n v="9025.7999999999993"/>
    <n v="0"/>
    <n v="8567.4418604651164"/>
    <n v="33"/>
    <n v="1657.7999999999993"/>
  </r>
  <r>
    <s v="L0413"/>
    <x v="342"/>
    <s v="B0413"/>
    <x v="9"/>
    <x v="411"/>
    <n v="5"/>
    <n v="36"/>
    <x v="1"/>
    <x v="0"/>
    <x v="1"/>
    <x v="409"/>
    <s v="OWN"/>
    <n v="0.22"/>
    <n v="0.73"/>
    <n v="12039.9"/>
    <n v="0"/>
    <n v="38936.986301369863"/>
    <n v="60"/>
    <n v="-16384.099999999999"/>
  </r>
  <r>
    <s v="L0414"/>
    <x v="343"/>
    <s v="B0414"/>
    <x v="0"/>
    <x v="412"/>
    <n v="8.4"/>
    <n v="36"/>
    <x v="1"/>
    <x v="1"/>
    <x v="3"/>
    <x v="410"/>
    <s v="MORTGAGE"/>
    <n v="0.49"/>
    <n v="0.84"/>
    <n v="4102.62"/>
    <n v="0"/>
    <n v="23015.476190476191"/>
    <n v="43"/>
    <n v="-15230.380000000001"/>
  </r>
  <r>
    <s v="L0415"/>
    <x v="330"/>
    <s v="B0415"/>
    <x v="9"/>
    <x v="413"/>
    <n v="12.8"/>
    <n v="36"/>
    <x v="0"/>
    <x v="6"/>
    <x v="1"/>
    <x v="411"/>
    <s v="MORTGAGE"/>
    <n v="0.35"/>
    <n v="0.64"/>
    <n v="27202.85"/>
    <n v="0"/>
    <n v="37681.25"/>
    <n v="38"/>
    <n v="3086.8499999999985"/>
  </r>
  <r>
    <s v="L0416"/>
    <x v="317"/>
    <s v="B0416"/>
    <x v="1"/>
    <x v="414"/>
    <n v="12.6"/>
    <n v="36"/>
    <x v="0"/>
    <x v="0"/>
    <x v="1"/>
    <x v="412"/>
    <s v="OWN"/>
    <n v="0.47"/>
    <n v="0.73"/>
    <n v="18607.150000000001"/>
    <n v="0"/>
    <n v="22636.986301369863"/>
    <n v="49"/>
    <n v="2082.1500000000015"/>
  </r>
  <r>
    <s v="L0417"/>
    <x v="134"/>
    <s v="B0417"/>
    <x v="3"/>
    <x v="415"/>
    <n v="9.5"/>
    <n v="60"/>
    <x v="1"/>
    <x v="5"/>
    <x v="0"/>
    <x v="413"/>
    <s v="RENT"/>
    <n v="0.37"/>
    <n v="0.89"/>
    <n v="5945.55"/>
    <n v="0"/>
    <n v="27413.483146067414"/>
    <n v="39"/>
    <n v="-18452.45"/>
  </r>
  <r>
    <s v="L0418"/>
    <x v="344"/>
    <s v="B0418"/>
    <x v="2"/>
    <x v="416"/>
    <n v="12.6"/>
    <n v="60"/>
    <x v="0"/>
    <x v="4"/>
    <x v="2"/>
    <x v="414"/>
    <s v="RENT"/>
    <n v="0.22"/>
    <n v="0.71"/>
    <n v="38122.980000000003"/>
    <n v="0"/>
    <n v="47685.915492957749"/>
    <n v="28"/>
    <n v="4265.9800000000032"/>
  </r>
  <r>
    <s v="L0419"/>
    <x v="345"/>
    <s v="B0419"/>
    <x v="4"/>
    <x v="417"/>
    <n v="7.6"/>
    <n v="60"/>
    <x v="1"/>
    <x v="6"/>
    <x v="4"/>
    <x v="415"/>
    <s v="RENT"/>
    <n v="0.25"/>
    <n v="0.66"/>
    <n v="2661.69"/>
    <n v="0"/>
    <n v="17213.636363636364"/>
    <n v="56"/>
    <n v="-8699.31"/>
  </r>
  <r>
    <s v="L0420"/>
    <x v="346"/>
    <s v="B0420"/>
    <x v="2"/>
    <x v="418"/>
    <n v="13.3"/>
    <n v="36"/>
    <x v="0"/>
    <x v="6"/>
    <x v="2"/>
    <x v="416"/>
    <s v="OWN"/>
    <n v="0.32"/>
    <n v="0.74"/>
    <n v="19679.080000000002"/>
    <n v="0"/>
    <n v="23471.621621621623"/>
    <n v="49"/>
    <n v="2310.0800000000017"/>
  </r>
  <r>
    <s v="L0421"/>
    <x v="347"/>
    <s v="B0421"/>
    <x v="2"/>
    <x v="419"/>
    <n v="21"/>
    <n v="60"/>
    <x v="3"/>
    <x v="6"/>
    <x v="1"/>
    <x v="417"/>
    <s v="RENT"/>
    <n v="0.42"/>
    <n v="0.82"/>
    <n v="858.39"/>
    <n v="1009"/>
    <n v="4928.0487804878048"/>
    <n v="47"/>
    <n v="-2173.61"/>
  </r>
  <r>
    <s v="L0422"/>
    <x v="348"/>
    <s v="B0422"/>
    <x v="6"/>
    <x v="420"/>
    <n v="14.6"/>
    <n v="60"/>
    <x v="3"/>
    <x v="1"/>
    <x v="3"/>
    <x v="418"/>
    <s v="RENT"/>
    <n v="0.23"/>
    <n v="0.7"/>
    <n v="417.31"/>
    <n v="388.04"/>
    <n v="1578.5714285714287"/>
    <n v="60"/>
    <n v="-299.64999999999998"/>
  </r>
  <r>
    <s v="L0423"/>
    <x v="349"/>
    <s v="B0423"/>
    <x v="0"/>
    <x v="421"/>
    <n v="5.4"/>
    <n v="60"/>
    <x v="4"/>
    <x v="4"/>
    <x v="4"/>
    <x v="419"/>
    <s v="OWN"/>
    <n v="0.33"/>
    <n v="0.92"/>
    <n v="0"/>
    <n v="0"/>
    <n v="10954.347826086956"/>
    <n v="53"/>
    <n v="-10078"/>
  </r>
  <r>
    <s v="L0424"/>
    <x v="350"/>
    <s v="B0424"/>
    <x v="5"/>
    <x v="422"/>
    <n v="13.4"/>
    <n v="36"/>
    <x v="0"/>
    <x v="6"/>
    <x v="4"/>
    <x v="420"/>
    <s v="RENT"/>
    <n v="0.24"/>
    <n v="0.63"/>
    <n v="29487.4"/>
    <n v="0"/>
    <n v="41274.603174603173"/>
    <n v="47"/>
    <n v="3484.4000000000015"/>
  </r>
  <r>
    <s v="L0425"/>
    <x v="351"/>
    <s v="B0425"/>
    <x v="0"/>
    <x v="423"/>
    <n v="5.5"/>
    <n v="36"/>
    <x v="3"/>
    <x v="5"/>
    <x v="3"/>
    <x v="421"/>
    <s v="RENT"/>
    <n v="0.43"/>
    <n v="0.71"/>
    <n v="2472.13"/>
    <n v="1824.75"/>
    <n v="9985.9154929577471"/>
    <n v="39"/>
    <n v="-2793.12"/>
  </r>
  <r>
    <s v="L0426"/>
    <x v="352"/>
    <s v="B0426"/>
    <x v="4"/>
    <x v="424"/>
    <n v="24.3"/>
    <n v="60"/>
    <x v="0"/>
    <x v="0"/>
    <x v="4"/>
    <x v="422"/>
    <s v="RENT"/>
    <n v="0.28999999999999998"/>
    <n v="0.84"/>
    <n v="49533.55"/>
    <n v="0"/>
    <n v="47440.476190476191"/>
    <n v="38"/>
    <n v="9683.5500000000029"/>
  </r>
  <r>
    <s v="L0427"/>
    <x v="353"/>
    <s v="B0427"/>
    <x v="6"/>
    <x v="425"/>
    <n v="7.5"/>
    <n v="60"/>
    <x v="1"/>
    <x v="5"/>
    <x v="3"/>
    <x v="423"/>
    <s v="OWN"/>
    <n v="0.13"/>
    <n v="0.81"/>
    <n v="289.72000000000003"/>
    <n v="0"/>
    <n v="3611.1111111111109"/>
    <n v="34"/>
    <n v="-2635.2799999999997"/>
  </r>
  <r>
    <s v="L0428"/>
    <x v="152"/>
    <s v="B0428"/>
    <x v="3"/>
    <x v="426"/>
    <n v="19.2"/>
    <n v="36"/>
    <x v="0"/>
    <x v="2"/>
    <x v="4"/>
    <x v="424"/>
    <s v="OWN"/>
    <n v="0.17"/>
    <n v="0.89"/>
    <n v="23172.48"/>
    <n v="0"/>
    <n v="21842.696629213482"/>
    <n v="57"/>
    <n v="3732.4799999999996"/>
  </r>
  <r>
    <s v="L0429"/>
    <x v="354"/>
    <s v="B0429"/>
    <x v="2"/>
    <x v="427"/>
    <n v="24.5"/>
    <n v="36"/>
    <x v="0"/>
    <x v="2"/>
    <x v="2"/>
    <x v="425"/>
    <s v="RENT"/>
    <n v="0.12"/>
    <n v="0.95"/>
    <n v="33633.68"/>
    <n v="0"/>
    <n v="28436.84210526316"/>
    <n v="33"/>
    <n v="6618.68"/>
  </r>
  <r>
    <s v="L0430"/>
    <x v="290"/>
    <s v="B0430"/>
    <x v="1"/>
    <x v="428"/>
    <n v="21.5"/>
    <n v="60"/>
    <x v="3"/>
    <x v="0"/>
    <x v="4"/>
    <x v="426"/>
    <s v="RENT"/>
    <n v="0.3"/>
    <n v="0.69"/>
    <n v="4545.24"/>
    <n v="12356.63"/>
    <n v="49739.130434782615"/>
    <n v="26"/>
    <n v="-17418.13"/>
  </r>
  <r>
    <s v="L0431"/>
    <x v="346"/>
    <s v="B0431"/>
    <x v="6"/>
    <x v="429"/>
    <n v="19"/>
    <n v="36"/>
    <x v="0"/>
    <x v="1"/>
    <x v="0"/>
    <x v="427"/>
    <s v="OWN"/>
    <n v="0.14000000000000001"/>
    <n v="0.55000000000000004"/>
    <n v="31286.29"/>
    <n v="0"/>
    <n v="47801.818181818177"/>
    <n v="49"/>
    <n v="4995.2900000000009"/>
  </r>
  <r>
    <s v="L0432"/>
    <x v="355"/>
    <s v="B0432"/>
    <x v="8"/>
    <x v="430"/>
    <n v="21.8"/>
    <n v="60"/>
    <x v="1"/>
    <x v="6"/>
    <x v="3"/>
    <x v="428"/>
    <s v="RENT"/>
    <n v="0.15"/>
    <n v="0.51"/>
    <n v="9138.7099999999991"/>
    <n v="0"/>
    <n v="73880.392156862741"/>
    <n v="28"/>
    <n v="-28540.29"/>
  </r>
  <r>
    <s v="L0433"/>
    <x v="356"/>
    <s v="B0433"/>
    <x v="9"/>
    <x v="431"/>
    <n v="24.6"/>
    <n v="36"/>
    <x v="1"/>
    <x v="4"/>
    <x v="4"/>
    <x v="429"/>
    <s v="OWN"/>
    <n v="0.48"/>
    <n v="0.83"/>
    <n v="2575.9699999999998"/>
    <n v="0"/>
    <n v="32878.313253012049"/>
    <n v="31"/>
    <n v="-24713.03"/>
  </r>
  <r>
    <s v="L0434"/>
    <x v="357"/>
    <s v="B0434"/>
    <x v="0"/>
    <x v="432"/>
    <n v="17.399999999999999"/>
    <n v="60"/>
    <x v="1"/>
    <x v="5"/>
    <x v="3"/>
    <x v="430"/>
    <s v="RENT"/>
    <n v="0.45"/>
    <n v="0.89"/>
    <n v="1442.19"/>
    <n v="0"/>
    <n v="4931.4606741573034"/>
    <n v="33"/>
    <n v="-2946.81"/>
  </r>
  <r>
    <s v="L0435"/>
    <x v="358"/>
    <s v="B0435"/>
    <x v="6"/>
    <x v="433"/>
    <n v="16.2"/>
    <n v="60"/>
    <x v="0"/>
    <x v="1"/>
    <x v="0"/>
    <x v="431"/>
    <s v="OWN"/>
    <n v="0.28000000000000003"/>
    <n v="0.6"/>
    <n v="31005.65"/>
    <n v="0"/>
    <n v="44471.666666666672"/>
    <n v="43"/>
    <n v="4322.6500000000015"/>
  </r>
  <r>
    <s v="L0436"/>
    <x v="231"/>
    <s v="B0436"/>
    <x v="8"/>
    <x v="434"/>
    <n v="17.600000000000001"/>
    <n v="36"/>
    <x v="0"/>
    <x v="4"/>
    <x v="4"/>
    <x v="432"/>
    <s v="MORTGAGE"/>
    <n v="0.49"/>
    <n v="0.56999999999999995"/>
    <n v="17203.7"/>
    <n v="0"/>
    <n v="25664.912280701756"/>
    <n v="27"/>
    <n v="2574.7000000000007"/>
  </r>
  <r>
    <s v="L0437"/>
    <x v="359"/>
    <s v="B0437"/>
    <x v="5"/>
    <x v="435"/>
    <n v="15.7"/>
    <n v="60"/>
    <x v="1"/>
    <x v="0"/>
    <x v="4"/>
    <x v="433"/>
    <s v="MORTGAGE"/>
    <n v="0.1"/>
    <n v="0.53"/>
    <n v="2961.24"/>
    <n v="0"/>
    <n v="48728.301886792447"/>
    <n v="59"/>
    <n v="-22864.760000000002"/>
  </r>
  <r>
    <s v="L0438"/>
    <x v="360"/>
    <s v="B0438"/>
    <x v="4"/>
    <x v="436"/>
    <n v="17.7"/>
    <n v="60"/>
    <x v="0"/>
    <x v="1"/>
    <x v="0"/>
    <x v="434"/>
    <s v="OWN"/>
    <n v="0.35"/>
    <n v="0.87"/>
    <n v="42605.05"/>
    <n v="0"/>
    <n v="41606.896551724138"/>
    <n v="27"/>
    <n v="6407.0500000000029"/>
  </r>
  <r>
    <s v="L0439"/>
    <x v="361"/>
    <s v="B0439"/>
    <x v="4"/>
    <x v="437"/>
    <n v="14"/>
    <n v="60"/>
    <x v="0"/>
    <x v="2"/>
    <x v="0"/>
    <x v="435"/>
    <s v="MORTGAGE"/>
    <n v="0.35"/>
    <n v="0.64"/>
    <n v="31498.2"/>
    <n v="0"/>
    <n v="43171.875"/>
    <n v="31"/>
    <n v="3868.2000000000007"/>
  </r>
  <r>
    <s v="L0440"/>
    <x v="102"/>
    <s v="B0440"/>
    <x v="2"/>
    <x v="438"/>
    <n v="9.4"/>
    <n v="36"/>
    <x v="0"/>
    <x v="1"/>
    <x v="0"/>
    <x v="436"/>
    <s v="RENT"/>
    <n v="0.28000000000000003"/>
    <n v="0.68"/>
    <n v="37443.24"/>
    <n v="0"/>
    <n v="50332.352941176468"/>
    <n v="49"/>
    <n v="3217.239999999998"/>
  </r>
  <r>
    <s v="L0441"/>
    <x v="279"/>
    <s v="B0441"/>
    <x v="2"/>
    <x v="439"/>
    <n v="7.4"/>
    <n v="36"/>
    <x v="0"/>
    <x v="1"/>
    <x v="3"/>
    <x v="437"/>
    <s v="OWN"/>
    <n v="0.26"/>
    <n v="0.73"/>
    <n v="36489.15"/>
    <n v="0"/>
    <n v="46541.095890410958"/>
    <n v="41"/>
    <n v="2514.1500000000015"/>
  </r>
  <r>
    <s v="L0442"/>
    <x v="362"/>
    <s v="B0442"/>
    <x v="6"/>
    <x v="440"/>
    <n v="6.4"/>
    <n v="36"/>
    <x v="3"/>
    <x v="4"/>
    <x v="0"/>
    <x v="438"/>
    <s v="OWN"/>
    <n v="0.28000000000000003"/>
    <n v="0.88"/>
    <n v="487.5"/>
    <n v="737.8"/>
    <n v="2157.9545454545455"/>
    <n v="38"/>
    <n v="-673.7"/>
  </r>
  <r>
    <s v="L0443"/>
    <x v="363"/>
    <s v="B0443"/>
    <x v="6"/>
    <x v="441"/>
    <n v="10.3"/>
    <n v="60"/>
    <x v="0"/>
    <x v="0"/>
    <x v="3"/>
    <x v="439"/>
    <s v="RENT"/>
    <n v="0.27"/>
    <n v="0.79"/>
    <n v="13956.26"/>
    <n v="0"/>
    <n v="16016.455696202531"/>
    <n v="54"/>
    <n v="1303.2600000000002"/>
  </r>
  <r>
    <s v="L0444"/>
    <x v="364"/>
    <s v="B0444"/>
    <x v="3"/>
    <x v="442"/>
    <n v="5.9"/>
    <n v="36"/>
    <x v="1"/>
    <x v="1"/>
    <x v="2"/>
    <x v="440"/>
    <s v="RENT"/>
    <n v="0.39"/>
    <n v="0.78"/>
    <n v="1542.14"/>
    <n v="0"/>
    <n v="37129.48717948718"/>
    <n v="40"/>
    <n v="-27418.86"/>
  </r>
  <r>
    <s v="L0445"/>
    <x v="365"/>
    <s v="B0445"/>
    <x v="9"/>
    <x v="443"/>
    <n v="16.3"/>
    <n v="60"/>
    <x v="0"/>
    <x v="4"/>
    <x v="4"/>
    <x v="441"/>
    <s v="OWN"/>
    <n v="0.15"/>
    <n v="0.57999999999999996"/>
    <n v="20242.02"/>
    <n v="0"/>
    <n v="30008.620689655174"/>
    <n v="37"/>
    <n v="2837.0200000000004"/>
  </r>
  <r>
    <s v="L0446"/>
    <x v="366"/>
    <s v="B0446"/>
    <x v="7"/>
    <x v="444"/>
    <n v="10.7"/>
    <n v="60"/>
    <x v="0"/>
    <x v="6"/>
    <x v="4"/>
    <x v="442"/>
    <s v="RENT"/>
    <n v="0.18"/>
    <n v="0.73"/>
    <n v="10628.31"/>
    <n v="0"/>
    <n v="13152.054794520549"/>
    <n v="43"/>
    <n v="1027.3099999999995"/>
  </r>
  <r>
    <s v="L0447"/>
    <x v="367"/>
    <s v="B0447"/>
    <x v="5"/>
    <x v="445"/>
    <n v="21.5"/>
    <n v="36"/>
    <x v="0"/>
    <x v="0"/>
    <x v="1"/>
    <x v="443"/>
    <s v="OWN"/>
    <n v="0.17"/>
    <n v="0.82"/>
    <n v="42114.33"/>
    <n v="0"/>
    <n v="42270.731707317078"/>
    <n v="28"/>
    <n v="7452.3300000000017"/>
  </r>
  <r>
    <s v="L0448"/>
    <x v="368"/>
    <s v="B0448"/>
    <x v="2"/>
    <x v="446"/>
    <n v="6.5"/>
    <n v="36"/>
    <x v="0"/>
    <x v="4"/>
    <x v="2"/>
    <x v="444"/>
    <s v="RENT"/>
    <n v="0.2"/>
    <n v="0.94"/>
    <n v="36510.33"/>
    <n v="0"/>
    <n v="36470.212765957447"/>
    <n v="31"/>
    <n v="2228.3300000000017"/>
  </r>
  <r>
    <s v="L0449"/>
    <x v="369"/>
    <s v="B0449"/>
    <x v="7"/>
    <x v="447"/>
    <n v="9.5"/>
    <n v="60"/>
    <x v="0"/>
    <x v="4"/>
    <x v="0"/>
    <x v="445"/>
    <s v="OWN"/>
    <n v="0.31"/>
    <n v="0.59"/>
    <n v="24405.360000000001"/>
    <n v="0"/>
    <n v="37776.271186440681"/>
    <n v="46"/>
    <n v="2117.3600000000006"/>
  </r>
  <r>
    <s v="L0450"/>
    <x v="370"/>
    <s v="B0450"/>
    <x v="7"/>
    <x v="448"/>
    <n v="19.600000000000001"/>
    <n v="60"/>
    <x v="1"/>
    <x v="2"/>
    <x v="0"/>
    <x v="446"/>
    <s v="RENT"/>
    <n v="0.14000000000000001"/>
    <n v="0.5"/>
    <n v="5878.95"/>
    <n v="0"/>
    <n v="61090"/>
    <n v="32"/>
    <n v="-24666.05"/>
  </r>
  <r>
    <s v="L0451"/>
    <x v="371"/>
    <s v="B0451"/>
    <x v="9"/>
    <x v="449"/>
    <n v="17"/>
    <n v="36"/>
    <x v="0"/>
    <x v="0"/>
    <x v="2"/>
    <x v="447"/>
    <s v="RENT"/>
    <n v="0.45"/>
    <n v="0.53"/>
    <n v="44316.09"/>
    <n v="0"/>
    <n v="71466.037735849051"/>
    <n v="57"/>
    <n v="6439.0899999999965"/>
  </r>
  <r>
    <s v="L0452"/>
    <x v="372"/>
    <s v="B0452"/>
    <x v="1"/>
    <x v="450"/>
    <n v="6.3"/>
    <n v="36"/>
    <x v="0"/>
    <x v="0"/>
    <x v="0"/>
    <x v="448"/>
    <s v="MORTGAGE"/>
    <n v="0.22"/>
    <n v="0.67"/>
    <n v="17340.72"/>
    <n v="0"/>
    <n v="24347.761194029848"/>
    <n v="31"/>
    <n v="1027.7200000000012"/>
  </r>
  <r>
    <s v="L0453"/>
    <x v="104"/>
    <s v="B0453"/>
    <x v="1"/>
    <x v="451"/>
    <n v="22.5"/>
    <n v="36"/>
    <x v="0"/>
    <x v="0"/>
    <x v="1"/>
    <x v="449"/>
    <s v="MORTGAGE"/>
    <n v="0.17"/>
    <n v="0.87"/>
    <n v="20027.53"/>
    <n v="0"/>
    <n v="18791.954022988506"/>
    <n v="36"/>
    <n v="3678.5299999999988"/>
  </r>
  <r>
    <s v="L0454"/>
    <x v="279"/>
    <s v="B0454"/>
    <x v="2"/>
    <x v="452"/>
    <n v="22.5"/>
    <n v="60"/>
    <x v="0"/>
    <x v="6"/>
    <x v="3"/>
    <x v="450"/>
    <s v="MORTGAGE"/>
    <n v="0.37"/>
    <n v="0.5"/>
    <n v="10019.280000000001"/>
    <n v="0"/>
    <n v="16358"/>
    <n v="41"/>
    <n v="1840.2800000000007"/>
  </r>
  <r>
    <s v="L0455"/>
    <x v="373"/>
    <s v="B0455"/>
    <x v="8"/>
    <x v="453"/>
    <n v="11.6"/>
    <n v="60"/>
    <x v="3"/>
    <x v="0"/>
    <x v="4"/>
    <x v="451"/>
    <s v="RENT"/>
    <n v="0.12"/>
    <n v="0.71"/>
    <n v="3433.56"/>
    <n v="1960.48"/>
    <n v="15952.112676056338"/>
    <n v="61"/>
    <n v="-5931.96"/>
  </r>
  <r>
    <s v="L0456"/>
    <x v="374"/>
    <s v="B0456"/>
    <x v="9"/>
    <x v="454"/>
    <n v="11.8"/>
    <n v="60"/>
    <x v="0"/>
    <x v="0"/>
    <x v="2"/>
    <x v="452"/>
    <s v="OWN"/>
    <n v="0.35"/>
    <n v="0.65"/>
    <n v="2862.08"/>
    <n v="0"/>
    <n v="3938.4615384615381"/>
    <n v="51"/>
    <n v="302.07999999999993"/>
  </r>
  <r>
    <s v="L0457"/>
    <x v="375"/>
    <s v="B0457"/>
    <x v="9"/>
    <x v="455"/>
    <n v="24.8"/>
    <n v="60"/>
    <x v="0"/>
    <x v="0"/>
    <x v="4"/>
    <x v="453"/>
    <s v="RENT"/>
    <n v="0.38"/>
    <n v="0.52"/>
    <n v="18235.78"/>
    <n v="0"/>
    <n v="28100"/>
    <n v="46"/>
    <n v="3623.7799999999988"/>
  </r>
  <r>
    <s v="L0458"/>
    <x v="21"/>
    <s v="B0458"/>
    <x v="0"/>
    <x v="456"/>
    <n v="17.5"/>
    <n v="60"/>
    <x v="0"/>
    <x v="1"/>
    <x v="3"/>
    <x v="454"/>
    <s v="MORTGAGE"/>
    <n v="0.19"/>
    <n v="0.7"/>
    <n v="21913.75"/>
    <n v="0"/>
    <n v="26642.857142857145"/>
    <n v="45"/>
    <n v="3263.75"/>
  </r>
  <r>
    <s v="L0459"/>
    <x v="65"/>
    <s v="B0459"/>
    <x v="7"/>
    <x v="457"/>
    <n v="15.6"/>
    <n v="36"/>
    <x v="2"/>
    <x v="0"/>
    <x v="2"/>
    <x v="455"/>
    <s v="RENT"/>
    <n v="0.12"/>
    <n v="0.61"/>
    <n v="0"/>
    <n v="0"/>
    <n v="45483.606557377047"/>
    <n v="55"/>
    <n v="-27745"/>
  </r>
  <r>
    <s v="L0460"/>
    <x v="376"/>
    <s v="B0460"/>
    <x v="0"/>
    <x v="458"/>
    <n v="21.8"/>
    <n v="36"/>
    <x v="0"/>
    <x v="4"/>
    <x v="3"/>
    <x v="456"/>
    <s v="MORTGAGE"/>
    <n v="0.25"/>
    <n v="0.66"/>
    <n v="40060.019999999997"/>
    <n v="0"/>
    <n v="49833.333333333328"/>
    <n v="26"/>
    <n v="7170.0199999999968"/>
  </r>
  <r>
    <s v="L0461"/>
    <x v="347"/>
    <s v="B0461"/>
    <x v="7"/>
    <x v="459"/>
    <n v="10.7"/>
    <n v="60"/>
    <x v="1"/>
    <x v="4"/>
    <x v="0"/>
    <x v="457"/>
    <s v="MORTGAGE"/>
    <n v="0.14000000000000001"/>
    <n v="0.82"/>
    <n v="5630.06"/>
    <n v="0"/>
    <n v="25636.585365853662"/>
    <n v="47"/>
    <n v="-15391.939999999999"/>
  </r>
  <r>
    <s v="L0462"/>
    <x v="377"/>
    <s v="B0462"/>
    <x v="1"/>
    <x v="460"/>
    <n v="13.6"/>
    <n v="60"/>
    <x v="0"/>
    <x v="5"/>
    <x v="0"/>
    <x v="458"/>
    <s v="OWN"/>
    <n v="0.15"/>
    <n v="0.73"/>
    <n v="6566.08"/>
    <n v="0"/>
    <n v="7917.8082191780823"/>
    <n v="33"/>
    <n v="786.07999999999993"/>
  </r>
  <r>
    <s v="L0463"/>
    <x v="32"/>
    <s v="B0463"/>
    <x v="2"/>
    <x v="461"/>
    <n v="10.4"/>
    <n v="36"/>
    <x v="3"/>
    <x v="1"/>
    <x v="0"/>
    <x v="459"/>
    <s v="OWN"/>
    <n v="0.2"/>
    <n v="0.56000000000000005"/>
    <n v="7598.51"/>
    <n v="3245.92"/>
    <n v="34483.928571428565"/>
    <n v="57"/>
    <n v="-8466.57"/>
  </r>
  <r>
    <s v="L0464"/>
    <x v="378"/>
    <s v="B0464"/>
    <x v="5"/>
    <x v="462"/>
    <n v="20.8"/>
    <n v="36"/>
    <x v="3"/>
    <x v="5"/>
    <x v="3"/>
    <x v="460"/>
    <s v="MORTGAGE"/>
    <n v="0.22"/>
    <n v="0.93"/>
    <n v="10642.35"/>
    <n v="10361.469999999999"/>
    <n v="31591.397849462363"/>
    <n v="59"/>
    <n v="-8376.18"/>
  </r>
  <r>
    <s v="L0465"/>
    <x v="379"/>
    <s v="B0465"/>
    <x v="1"/>
    <x v="463"/>
    <n v="16.5"/>
    <n v="36"/>
    <x v="1"/>
    <x v="2"/>
    <x v="3"/>
    <x v="461"/>
    <s v="MORTGAGE"/>
    <n v="0.31"/>
    <n v="0.79"/>
    <n v="710.07"/>
    <n v="0"/>
    <n v="4248.1012658227846"/>
    <n v="39"/>
    <n v="-2645.93"/>
  </r>
  <r>
    <s v="L0466"/>
    <x v="380"/>
    <s v="B0466"/>
    <x v="9"/>
    <x v="464"/>
    <n v="18.2"/>
    <n v="36"/>
    <x v="0"/>
    <x v="2"/>
    <x v="3"/>
    <x v="462"/>
    <s v="RENT"/>
    <n v="0.37"/>
    <n v="0.84"/>
    <n v="6843.78"/>
    <n v="0"/>
    <n v="6892.8571428571431"/>
    <n v="61"/>
    <n v="1053.7799999999997"/>
  </r>
  <r>
    <s v="L0467"/>
    <x v="381"/>
    <s v="B0467"/>
    <x v="5"/>
    <x v="465"/>
    <n v="10"/>
    <n v="60"/>
    <x v="0"/>
    <x v="4"/>
    <x v="4"/>
    <x v="463"/>
    <s v="MORTGAGE"/>
    <n v="0.34"/>
    <n v="0.54"/>
    <n v="30702.1"/>
    <n v="0"/>
    <n v="51687.037037037036"/>
    <n v="56"/>
    <n v="2791.0999999999985"/>
  </r>
  <r>
    <s v="L0468"/>
    <x v="382"/>
    <s v="B0468"/>
    <x v="6"/>
    <x v="466"/>
    <n v="9.4"/>
    <n v="36"/>
    <x v="0"/>
    <x v="1"/>
    <x v="3"/>
    <x v="464"/>
    <s v="RENT"/>
    <n v="0.16"/>
    <n v="0.52"/>
    <n v="27747.119999999999"/>
    <n v="0"/>
    <n v="48775"/>
    <n v="41"/>
    <n v="2384.119999999999"/>
  </r>
  <r>
    <s v="L0469"/>
    <x v="320"/>
    <s v="B0469"/>
    <x v="5"/>
    <x v="467"/>
    <n v="14.8"/>
    <n v="60"/>
    <x v="0"/>
    <x v="1"/>
    <x v="0"/>
    <x v="465"/>
    <s v="MORTGAGE"/>
    <n v="0.17"/>
    <n v="0.51"/>
    <n v="24164.25"/>
    <n v="0"/>
    <n v="41272.549019607839"/>
    <n v="37"/>
    <n v="3115.25"/>
  </r>
  <r>
    <s v="L0470"/>
    <x v="275"/>
    <s v="B0470"/>
    <x v="5"/>
    <x v="468"/>
    <n v="19.8"/>
    <n v="36"/>
    <x v="0"/>
    <x v="2"/>
    <x v="1"/>
    <x v="466"/>
    <s v="OWN"/>
    <n v="0.45"/>
    <n v="0.57999999999999996"/>
    <n v="13394.84"/>
    <n v="0"/>
    <n v="19277.586206896554"/>
    <n v="27"/>
    <n v="2213.84"/>
  </r>
  <r>
    <s v="L0471"/>
    <x v="383"/>
    <s v="B0471"/>
    <x v="1"/>
    <x v="469"/>
    <n v="15.5"/>
    <n v="36"/>
    <x v="0"/>
    <x v="4"/>
    <x v="3"/>
    <x v="467"/>
    <s v="OWN"/>
    <n v="0.32"/>
    <n v="0.69"/>
    <n v="19729.71"/>
    <n v="0"/>
    <n v="24756.521739130436"/>
    <n v="46"/>
    <n v="2647.7099999999991"/>
  </r>
  <r>
    <s v="L0472"/>
    <x v="57"/>
    <s v="B0472"/>
    <x v="9"/>
    <x v="470"/>
    <n v="5.7"/>
    <n v="36"/>
    <x v="1"/>
    <x v="5"/>
    <x v="1"/>
    <x v="468"/>
    <s v="MORTGAGE"/>
    <n v="0.45"/>
    <n v="0.92"/>
    <n v="117.05"/>
    <n v="0"/>
    <n v="1805.4347826086955"/>
    <n v="47"/>
    <n v="-1543.95"/>
  </r>
  <r>
    <s v="L0473"/>
    <x v="384"/>
    <s v="B0473"/>
    <x v="5"/>
    <x v="471"/>
    <n v="22.4"/>
    <n v="60"/>
    <x v="0"/>
    <x v="4"/>
    <x v="0"/>
    <x v="469"/>
    <s v="RENT"/>
    <n v="0.25"/>
    <n v="0.71"/>
    <n v="47016.29"/>
    <n v="0"/>
    <n v="54101.408450704228"/>
    <n v="35"/>
    <n v="8604.2900000000009"/>
  </r>
  <r>
    <s v="L0474"/>
    <x v="385"/>
    <s v="B0474"/>
    <x v="1"/>
    <x v="472"/>
    <n v="6.3"/>
    <n v="60"/>
    <x v="0"/>
    <x v="6"/>
    <x v="3"/>
    <x v="470"/>
    <s v="RENT"/>
    <n v="0.35"/>
    <n v="0.63"/>
    <n v="4166.96"/>
    <n v="0"/>
    <n v="6222.2222222222226"/>
    <n v="33"/>
    <n v="246.96000000000004"/>
  </r>
  <r>
    <s v="L0475"/>
    <x v="386"/>
    <s v="B0475"/>
    <x v="1"/>
    <x v="473"/>
    <n v="24.1"/>
    <n v="36"/>
    <x v="0"/>
    <x v="0"/>
    <x v="4"/>
    <x v="471"/>
    <s v="RENT"/>
    <n v="0.31"/>
    <n v="0.75"/>
    <n v="33082.58"/>
    <n v="0"/>
    <n v="35544"/>
    <n v="28"/>
    <n v="6424.5800000000017"/>
  </r>
  <r>
    <s v="L0476"/>
    <x v="387"/>
    <s v="B0476"/>
    <x v="5"/>
    <x v="474"/>
    <n v="5.5"/>
    <n v="60"/>
    <x v="4"/>
    <x v="0"/>
    <x v="4"/>
    <x v="472"/>
    <s v="MORTGAGE"/>
    <n v="0.23"/>
    <n v="0.55000000000000004"/>
    <n v="0"/>
    <n v="0"/>
    <n v="27318.181818181816"/>
    <n v="49"/>
    <n v="-15025"/>
  </r>
  <r>
    <s v="L0477"/>
    <x v="388"/>
    <s v="B0477"/>
    <x v="7"/>
    <x v="475"/>
    <n v="18.899999999999999"/>
    <n v="60"/>
    <x v="0"/>
    <x v="4"/>
    <x v="1"/>
    <x v="473"/>
    <s v="MORTGAGE"/>
    <n v="0.28999999999999998"/>
    <n v="0.77"/>
    <n v="11825.79"/>
    <n v="0"/>
    <n v="12916.883116883117"/>
    <n v="51"/>
    <n v="1879.7900000000009"/>
  </r>
  <r>
    <s v="L0478"/>
    <x v="24"/>
    <s v="B0478"/>
    <x v="9"/>
    <x v="476"/>
    <n v="6.6"/>
    <n v="36"/>
    <x v="1"/>
    <x v="0"/>
    <x v="4"/>
    <x v="474"/>
    <s v="OWN"/>
    <n v="0.3"/>
    <n v="0.76"/>
    <n v="12789.38"/>
    <n v="0"/>
    <n v="39086.84210526316"/>
    <n v="56"/>
    <n v="-16916.620000000003"/>
  </r>
  <r>
    <s v="L0479"/>
    <x v="389"/>
    <s v="B0479"/>
    <x v="4"/>
    <x v="477"/>
    <n v="23.2"/>
    <n v="36"/>
    <x v="0"/>
    <x v="5"/>
    <x v="4"/>
    <x v="475"/>
    <s v="OWN"/>
    <n v="0.18"/>
    <n v="0.86"/>
    <n v="21324.69"/>
    <n v="0"/>
    <n v="20126.744186046511"/>
    <n v="45"/>
    <n v="4015.6899999999987"/>
  </r>
  <r>
    <s v="L0480"/>
    <x v="390"/>
    <s v="B0480"/>
    <x v="5"/>
    <x v="478"/>
    <n v="14.3"/>
    <n v="60"/>
    <x v="0"/>
    <x v="0"/>
    <x v="4"/>
    <x v="476"/>
    <s v="MORTGAGE"/>
    <n v="0.23"/>
    <n v="0.94"/>
    <n v="38999.160000000003"/>
    <n v="0"/>
    <n v="36297.872340425536"/>
    <n v="35"/>
    <n v="4879.1600000000035"/>
  </r>
  <r>
    <s v="L0481"/>
    <x v="161"/>
    <s v="B0481"/>
    <x v="0"/>
    <x v="479"/>
    <n v="7.8"/>
    <n v="60"/>
    <x v="0"/>
    <x v="4"/>
    <x v="0"/>
    <x v="477"/>
    <s v="OWN"/>
    <n v="0.42"/>
    <n v="0.61"/>
    <n v="33447.11"/>
    <n v="0"/>
    <n v="50863.934426229513"/>
    <n v="32"/>
    <n v="2420.1100000000006"/>
  </r>
  <r>
    <s v="L0482"/>
    <x v="391"/>
    <s v="B0482"/>
    <x v="0"/>
    <x v="480"/>
    <n v="11.8"/>
    <n v="60"/>
    <x v="0"/>
    <x v="2"/>
    <x v="4"/>
    <x v="478"/>
    <s v="RENT"/>
    <n v="0.47"/>
    <n v="0.73"/>
    <n v="8949.59"/>
    <n v="0"/>
    <n v="10965.753424657534"/>
    <n v="31"/>
    <n v="944.59000000000015"/>
  </r>
  <r>
    <s v="L0483"/>
    <x v="392"/>
    <s v="B0483"/>
    <x v="6"/>
    <x v="481"/>
    <n v="8.3000000000000007"/>
    <n v="36"/>
    <x v="1"/>
    <x v="4"/>
    <x v="2"/>
    <x v="479"/>
    <s v="RENT"/>
    <n v="0.24"/>
    <n v="0.91"/>
    <n v="899.87"/>
    <n v="0"/>
    <n v="2149.4505494505493"/>
    <n v="58"/>
    <n v="-1056.1300000000001"/>
  </r>
  <r>
    <s v="L0484"/>
    <x v="393"/>
    <s v="B0484"/>
    <x v="9"/>
    <x v="482"/>
    <n v="8.4"/>
    <n v="36"/>
    <x v="1"/>
    <x v="1"/>
    <x v="3"/>
    <x v="480"/>
    <s v="MORTGAGE"/>
    <n v="0.22"/>
    <n v="0.85"/>
    <n v="15026.66"/>
    <n v="0"/>
    <n v="42163.529411764706"/>
    <n v="60"/>
    <n v="-20812.34"/>
  </r>
  <r>
    <s v="L0485"/>
    <x v="239"/>
    <s v="B0485"/>
    <x v="1"/>
    <x v="483"/>
    <n v="24"/>
    <n v="60"/>
    <x v="0"/>
    <x v="0"/>
    <x v="4"/>
    <x v="481"/>
    <s v="RENT"/>
    <n v="0.18"/>
    <n v="0.72"/>
    <n v="11897.8"/>
    <n v="0"/>
    <n v="13326.388888888889"/>
    <n v="40"/>
    <n v="2302.7999999999993"/>
  </r>
  <r>
    <s v="L0486"/>
    <x v="394"/>
    <s v="B0486"/>
    <x v="3"/>
    <x v="484"/>
    <n v="13.9"/>
    <n v="36"/>
    <x v="2"/>
    <x v="0"/>
    <x v="4"/>
    <x v="482"/>
    <s v="MORTGAGE"/>
    <n v="0.37"/>
    <n v="0.93"/>
    <n v="0"/>
    <n v="0"/>
    <n v="14841.935483870968"/>
    <n v="40"/>
    <n v="-13803"/>
  </r>
  <r>
    <s v="L0487"/>
    <x v="381"/>
    <s v="B0487"/>
    <x v="2"/>
    <x v="485"/>
    <n v="20.8"/>
    <n v="36"/>
    <x v="0"/>
    <x v="6"/>
    <x v="4"/>
    <x v="483"/>
    <s v="RENT"/>
    <n v="0.23"/>
    <n v="0.53"/>
    <n v="32571.3"/>
    <n v="0"/>
    <n v="50873.584905660377"/>
    <n v="56"/>
    <n v="5608.2999999999993"/>
  </r>
  <r>
    <s v="L0488"/>
    <x v="395"/>
    <s v="B0488"/>
    <x v="8"/>
    <x v="486"/>
    <n v="17.8"/>
    <n v="60"/>
    <x v="4"/>
    <x v="1"/>
    <x v="2"/>
    <x v="484"/>
    <s v="MORTGAGE"/>
    <n v="0.5"/>
    <n v="0.92"/>
    <n v="0"/>
    <n v="0"/>
    <n v="40457.608695652169"/>
    <n v="35"/>
    <n v="-37221"/>
  </r>
  <r>
    <s v="L0489"/>
    <x v="396"/>
    <s v="B0489"/>
    <x v="3"/>
    <x v="487"/>
    <n v="18.5"/>
    <n v="60"/>
    <x v="4"/>
    <x v="4"/>
    <x v="4"/>
    <x v="485"/>
    <s v="RENT"/>
    <n v="0.23"/>
    <n v="0.52"/>
    <n v="0"/>
    <n v="0"/>
    <n v="66775"/>
    <n v="59"/>
    <n v="-34723"/>
  </r>
  <r>
    <s v="L0490"/>
    <x v="397"/>
    <s v="B0490"/>
    <x v="9"/>
    <x v="488"/>
    <n v="7.6"/>
    <n v="36"/>
    <x v="0"/>
    <x v="2"/>
    <x v="4"/>
    <x v="486"/>
    <s v="RENT"/>
    <n v="0.26"/>
    <n v="0.75"/>
    <n v="17519.43"/>
    <n v="0"/>
    <n v="21709.333333333332"/>
    <n v="33"/>
    <n v="1237.4300000000003"/>
  </r>
  <r>
    <s v="L0491"/>
    <x v="143"/>
    <s v="B0491"/>
    <x v="9"/>
    <x v="489"/>
    <n v="9.6999999999999993"/>
    <n v="36"/>
    <x v="0"/>
    <x v="2"/>
    <x v="3"/>
    <x v="487"/>
    <s v="OWN"/>
    <n v="0.34"/>
    <n v="0.9"/>
    <n v="6256.19"/>
    <n v="0"/>
    <n v="6336.6666666666661"/>
    <n v="55"/>
    <n v="553.1899999999996"/>
  </r>
  <r>
    <s v="L0492"/>
    <x v="66"/>
    <s v="B0492"/>
    <x v="5"/>
    <x v="490"/>
    <n v="20.7"/>
    <n v="60"/>
    <x v="0"/>
    <x v="3"/>
    <x v="2"/>
    <x v="488"/>
    <s v="OWN"/>
    <n v="0.42"/>
    <n v="0.62"/>
    <n v="9128.5400000000009"/>
    <n v="0"/>
    <n v="12198.387096774193"/>
    <n v="37"/>
    <n v="1565.5400000000009"/>
  </r>
  <r>
    <s v="L0493"/>
    <x v="264"/>
    <s v="B0493"/>
    <x v="5"/>
    <x v="491"/>
    <n v="24.4"/>
    <n v="36"/>
    <x v="1"/>
    <x v="4"/>
    <x v="2"/>
    <x v="489"/>
    <s v="OWN"/>
    <n v="0.28999999999999998"/>
    <n v="0.71"/>
    <n v="2888.35"/>
    <n v="0"/>
    <n v="37815.492957746479"/>
    <n v="61"/>
    <n v="-23960.65"/>
  </r>
  <r>
    <s v="L0494"/>
    <x v="268"/>
    <s v="B0494"/>
    <x v="3"/>
    <x v="492"/>
    <n v="10.3"/>
    <n v="36"/>
    <x v="0"/>
    <x v="0"/>
    <x v="4"/>
    <x v="490"/>
    <s v="OWN"/>
    <n v="0.27"/>
    <n v="0.65"/>
    <n v="36244.58"/>
    <n v="0"/>
    <n v="50553.846153846149"/>
    <n v="41"/>
    <n v="3384.5800000000017"/>
  </r>
  <r>
    <s v="L0495"/>
    <x v="246"/>
    <s v="B0495"/>
    <x v="1"/>
    <x v="493"/>
    <n v="10.4"/>
    <n v="60"/>
    <x v="2"/>
    <x v="5"/>
    <x v="2"/>
    <x v="491"/>
    <s v="OWN"/>
    <n v="0.5"/>
    <n v="0.93"/>
    <n v="0"/>
    <n v="0"/>
    <n v="35037.634408602149"/>
    <n v="47"/>
    <n v="-32585"/>
  </r>
  <r>
    <s v="L0496"/>
    <x v="398"/>
    <s v="B0496"/>
    <x v="6"/>
    <x v="494"/>
    <n v="14.5"/>
    <n v="60"/>
    <x v="1"/>
    <x v="1"/>
    <x v="1"/>
    <x v="492"/>
    <s v="OWN"/>
    <n v="0.1"/>
    <n v="0.87"/>
    <n v="11485.91"/>
    <n v="0"/>
    <n v="26454.022988505749"/>
    <n v="30"/>
    <n v="-11529.09"/>
  </r>
  <r>
    <s v="L0497"/>
    <x v="399"/>
    <s v="B0497"/>
    <x v="5"/>
    <x v="495"/>
    <n v="24.7"/>
    <n v="36"/>
    <x v="0"/>
    <x v="0"/>
    <x v="2"/>
    <x v="493"/>
    <s v="MORTGAGE"/>
    <n v="0.46"/>
    <n v="0.82"/>
    <n v="16214.74"/>
    <n v="0"/>
    <n v="15857.317073170732"/>
    <n v="28"/>
    <n v="3211.74"/>
  </r>
  <r>
    <s v="L0498"/>
    <x v="400"/>
    <s v="B0498"/>
    <x v="8"/>
    <x v="496"/>
    <n v="10.4"/>
    <n v="36"/>
    <x v="0"/>
    <x v="6"/>
    <x v="2"/>
    <x v="494"/>
    <s v="MORTGAGE"/>
    <n v="0.16"/>
    <n v="0.76"/>
    <n v="30865.63"/>
    <n v="0"/>
    <n v="36786.84210526316"/>
    <n v="38"/>
    <n v="2907.630000000001"/>
  </r>
  <r>
    <s v="L0499"/>
    <x v="401"/>
    <s v="B0499"/>
    <x v="8"/>
    <x v="497"/>
    <n v="13.1"/>
    <n v="36"/>
    <x v="1"/>
    <x v="0"/>
    <x v="2"/>
    <x v="495"/>
    <s v="OWN"/>
    <n v="0.41"/>
    <n v="0.87"/>
    <n v="4494.63"/>
    <n v="0"/>
    <n v="31054.022988505749"/>
    <n v="36"/>
    <n v="-22522.37"/>
  </r>
  <r>
    <s v="L0500"/>
    <x v="402"/>
    <s v="B0500"/>
    <x v="6"/>
    <x v="498"/>
    <n v="22.8"/>
    <n v="60"/>
    <x v="0"/>
    <x v="5"/>
    <x v="0"/>
    <x v="496"/>
    <s v="MORTGAGE"/>
    <n v="0.35"/>
    <n v="0.68"/>
    <n v="14945.99"/>
    <n v="0"/>
    <n v="17898.529411764706"/>
    <n v="30"/>
    <n v="2774.99"/>
  </r>
  <r>
    <s v="L0501"/>
    <x v="403"/>
    <s v="B0501"/>
    <x v="7"/>
    <x v="499"/>
    <n v="5.0999999999999996"/>
    <n v="36"/>
    <x v="1"/>
    <x v="4"/>
    <x v="0"/>
    <x v="497"/>
    <s v="OWN"/>
    <n v="0.24"/>
    <n v="0.7"/>
    <n v="4962.1499999999996"/>
    <n v="0"/>
    <n v="18858.571428571431"/>
    <n v="50"/>
    <n v="-8238.85"/>
  </r>
  <r>
    <s v="L0502"/>
    <x v="245"/>
    <s v="B0502"/>
    <x v="7"/>
    <x v="500"/>
    <n v="5.8"/>
    <n v="36"/>
    <x v="0"/>
    <x v="1"/>
    <x v="0"/>
    <x v="498"/>
    <s v="MORTGAGE"/>
    <n v="0.45"/>
    <n v="0.83"/>
    <n v="32190.71"/>
    <n v="0"/>
    <n v="36657.831325301209"/>
    <n v="30"/>
    <n v="1764.7099999999991"/>
  </r>
  <r>
    <s v="L0503"/>
    <x v="404"/>
    <s v="B0503"/>
    <x v="9"/>
    <x v="501"/>
    <n v="17.100000000000001"/>
    <n v="60"/>
    <x v="0"/>
    <x v="4"/>
    <x v="2"/>
    <x v="499"/>
    <s v="RENT"/>
    <n v="0.11"/>
    <n v="0.66"/>
    <n v="21989.040000000001"/>
    <n v="0"/>
    <n v="28451.515151515152"/>
    <n v="40"/>
    <n v="3211.0400000000009"/>
  </r>
  <r>
    <s v="L0504"/>
    <x v="405"/>
    <s v="B0504"/>
    <x v="5"/>
    <x v="502"/>
    <n v="23.1"/>
    <n v="60"/>
    <x v="0"/>
    <x v="6"/>
    <x v="1"/>
    <x v="500"/>
    <s v="MORTGAGE"/>
    <n v="0.19"/>
    <n v="0.53"/>
    <n v="27224.799999999999"/>
    <n v="0"/>
    <n v="41728.301886792447"/>
    <n v="50"/>
    <n v="5108.7999999999993"/>
  </r>
  <r>
    <s v="L0505"/>
    <x v="406"/>
    <s v="B0505"/>
    <x v="0"/>
    <x v="503"/>
    <n v="9.8000000000000007"/>
    <n v="36"/>
    <x v="1"/>
    <x v="5"/>
    <x v="2"/>
    <x v="501"/>
    <s v="MORTGAGE"/>
    <n v="0.33"/>
    <n v="0.53"/>
    <n v="15729.14"/>
    <n v="0"/>
    <n v="64711.32075471698"/>
    <n v="28"/>
    <n v="-18567.86"/>
  </r>
  <r>
    <s v="L0506"/>
    <x v="332"/>
    <s v="B0506"/>
    <x v="3"/>
    <x v="504"/>
    <n v="14.4"/>
    <n v="60"/>
    <x v="0"/>
    <x v="6"/>
    <x v="4"/>
    <x v="502"/>
    <s v="MORTGAGE"/>
    <n v="0.24"/>
    <n v="0.55000000000000004"/>
    <n v="23271.25"/>
    <n v="0"/>
    <n v="36985.454545454544"/>
    <n v="40"/>
    <n v="2929.25"/>
  </r>
  <r>
    <s v="L0507"/>
    <x v="322"/>
    <s v="B0507"/>
    <x v="4"/>
    <x v="505"/>
    <n v="14"/>
    <n v="60"/>
    <x v="1"/>
    <x v="3"/>
    <x v="1"/>
    <x v="503"/>
    <s v="RENT"/>
    <n v="0.34"/>
    <n v="0.89"/>
    <n v="4446.13"/>
    <n v="0"/>
    <n v="32011.235955056178"/>
    <n v="59"/>
    <n v="-24043.87"/>
  </r>
  <r>
    <s v="L0508"/>
    <x v="407"/>
    <s v="B0508"/>
    <x v="6"/>
    <x v="506"/>
    <n v="14.5"/>
    <n v="36"/>
    <x v="0"/>
    <x v="1"/>
    <x v="0"/>
    <x v="504"/>
    <s v="OWN"/>
    <n v="0.11"/>
    <n v="0.71"/>
    <n v="24016.38"/>
    <n v="0"/>
    <n v="29542.25352112676"/>
    <n v="39"/>
    <n v="3041.380000000001"/>
  </r>
  <r>
    <s v="L0509"/>
    <x v="408"/>
    <s v="B0509"/>
    <x v="9"/>
    <x v="507"/>
    <n v="17.5"/>
    <n v="60"/>
    <x v="1"/>
    <x v="3"/>
    <x v="3"/>
    <x v="505"/>
    <s v="MORTGAGE"/>
    <n v="0.15"/>
    <n v="0.82"/>
    <n v="12716.99"/>
    <n v="0"/>
    <n v="33808.536585365859"/>
    <n v="44"/>
    <n v="-15006.01"/>
  </r>
  <r>
    <s v="L0510"/>
    <x v="409"/>
    <s v="B0510"/>
    <x v="0"/>
    <x v="508"/>
    <n v="14.4"/>
    <n v="60"/>
    <x v="1"/>
    <x v="0"/>
    <x v="1"/>
    <x v="506"/>
    <s v="MORTGAGE"/>
    <n v="0.15"/>
    <n v="0.68"/>
    <n v="4595.21"/>
    <n v="0"/>
    <n v="35704.411764705881"/>
    <n v="38"/>
    <n v="-19683.79"/>
  </r>
  <r>
    <s v="L0511"/>
    <x v="410"/>
    <s v="B0511"/>
    <x v="5"/>
    <x v="509"/>
    <n v="13.9"/>
    <n v="36"/>
    <x v="0"/>
    <x v="4"/>
    <x v="0"/>
    <x v="507"/>
    <s v="RENT"/>
    <n v="0.18"/>
    <n v="0.62"/>
    <n v="15678.34"/>
    <n v="0"/>
    <n v="22201.612903225807"/>
    <n v="34"/>
    <n v="1913.3400000000001"/>
  </r>
  <r>
    <s v="L0512"/>
    <x v="83"/>
    <s v="B0512"/>
    <x v="0"/>
    <x v="510"/>
    <n v="14.5"/>
    <n v="60"/>
    <x v="1"/>
    <x v="0"/>
    <x v="1"/>
    <x v="508"/>
    <s v="OWN"/>
    <n v="0.28000000000000003"/>
    <n v="0.66"/>
    <n v="6147.18"/>
    <n v="0"/>
    <n v="19031.81818181818"/>
    <n v="61"/>
    <n v="-6413.82"/>
  </r>
  <r>
    <s v="L0513"/>
    <x v="411"/>
    <s v="B0513"/>
    <x v="0"/>
    <x v="511"/>
    <n v="16.8"/>
    <n v="36"/>
    <x v="0"/>
    <x v="4"/>
    <x v="1"/>
    <x v="509"/>
    <s v="MORTGAGE"/>
    <n v="0.4"/>
    <n v="0.86"/>
    <n v="1781.2"/>
    <n v="0"/>
    <n v="1773.2558139534883"/>
    <n v="38"/>
    <n v="256.20000000000005"/>
  </r>
  <r>
    <s v="L0514"/>
    <x v="412"/>
    <s v="B0514"/>
    <x v="6"/>
    <x v="512"/>
    <n v="15.7"/>
    <n v="36"/>
    <x v="0"/>
    <x v="6"/>
    <x v="2"/>
    <x v="510"/>
    <s v="RENT"/>
    <n v="0.46"/>
    <n v="0.78"/>
    <n v="27607.18"/>
    <n v="0"/>
    <n v="30591.025641025641"/>
    <n v="46"/>
    <n v="3746.1800000000003"/>
  </r>
  <r>
    <s v="L0515"/>
    <x v="413"/>
    <s v="B0515"/>
    <x v="9"/>
    <x v="513"/>
    <n v="22.1"/>
    <n v="60"/>
    <x v="0"/>
    <x v="0"/>
    <x v="4"/>
    <x v="511"/>
    <s v="OWN"/>
    <n v="0.43"/>
    <n v="0.92"/>
    <n v="41687.379999999997"/>
    <n v="0"/>
    <n v="37110.869565217392"/>
    <n v="31"/>
    <n v="7545.3799999999974"/>
  </r>
  <r>
    <s v="L0516"/>
    <x v="161"/>
    <s v="B0516"/>
    <x v="1"/>
    <x v="514"/>
    <n v="6"/>
    <n v="60"/>
    <x v="1"/>
    <x v="5"/>
    <x v="3"/>
    <x v="512"/>
    <s v="OWN"/>
    <n v="0.18"/>
    <n v="0.81"/>
    <n v="4929.04"/>
    <n v="0"/>
    <n v="34464.197530864192"/>
    <n v="32"/>
    <n v="-22986.959999999999"/>
  </r>
  <r>
    <s v="L0517"/>
    <x v="414"/>
    <s v="B0517"/>
    <x v="8"/>
    <x v="515"/>
    <n v="21.7"/>
    <n v="60"/>
    <x v="3"/>
    <x v="5"/>
    <x v="0"/>
    <x v="513"/>
    <s v="MORTGAGE"/>
    <n v="0.28000000000000003"/>
    <n v="0.76"/>
    <n v="2180.3000000000002"/>
    <n v="1908.91"/>
    <n v="7431.5789473684208"/>
    <n v="47"/>
    <n v="-1558.79"/>
  </r>
  <r>
    <s v="L0518"/>
    <x v="409"/>
    <s v="B0518"/>
    <x v="3"/>
    <x v="516"/>
    <n v="21.9"/>
    <n v="36"/>
    <x v="1"/>
    <x v="5"/>
    <x v="1"/>
    <x v="514"/>
    <s v="MORTGAGE"/>
    <n v="0.18"/>
    <n v="0.77"/>
    <n v="2677.28"/>
    <n v="0"/>
    <n v="46925.974025974028"/>
    <n v="38"/>
    <n v="-33455.72"/>
  </r>
  <r>
    <s v="L0519"/>
    <x v="151"/>
    <s v="B0519"/>
    <x v="9"/>
    <x v="517"/>
    <n v="10.7"/>
    <n v="60"/>
    <x v="0"/>
    <x v="5"/>
    <x v="3"/>
    <x v="515"/>
    <s v="MORTGAGE"/>
    <n v="0.21"/>
    <n v="0.92"/>
    <n v="34895.96"/>
    <n v="0"/>
    <n v="34264.130434782608"/>
    <n v="37"/>
    <n v="3372.9599999999991"/>
  </r>
  <r>
    <s v="L0520"/>
    <x v="415"/>
    <s v="B0520"/>
    <x v="4"/>
    <x v="518"/>
    <n v="14.3"/>
    <n v="36"/>
    <x v="1"/>
    <x v="6"/>
    <x v="1"/>
    <x v="516"/>
    <s v="MORTGAGE"/>
    <n v="0.3"/>
    <n v="0.85"/>
    <n v="11094.37"/>
    <n v="0"/>
    <n v="35355.294117647063"/>
    <n v="32"/>
    <n v="-18957.629999999997"/>
  </r>
  <r>
    <s v="L0521"/>
    <x v="416"/>
    <s v="B0521"/>
    <x v="0"/>
    <x v="519"/>
    <n v="13.8"/>
    <n v="60"/>
    <x v="0"/>
    <x v="0"/>
    <x v="4"/>
    <x v="517"/>
    <s v="RENT"/>
    <n v="0.13"/>
    <n v="0.51"/>
    <n v="40301.129999999997"/>
    <n v="0"/>
    <n v="69439.215686274503"/>
    <n v="32"/>
    <n v="4887.1299999999974"/>
  </r>
  <r>
    <s v="L0522"/>
    <x v="417"/>
    <s v="B0522"/>
    <x v="1"/>
    <x v="520"/>
    <n v="9.4"/>
    <n v="60"/>
    <x v="3"/>
    <x v="4"/>
    <x v="3"/>
    <x v="518"/>
    <s v="RENT"/>
    <n v="0.19"/>
    <n v="0.74"/>
    <n v="8770.67"/>
    <n v="14712.11"/>
    <n v="45650"/>
    <n v="49"/>
    <n v="-10298.220000000001"/>
  </r>
  <r>
    <s v="L0523"/>
    <x v="418"/>
    <s v="B0523"/>
    <x v="6"/>
    <x v="521"/>
    <n v="12.9"/>
    <n v="60"/>
    <x v="0"/>
    <x v="5"/>
    <x v="0"/>
    <x v="519"/>
    <s v="MORTGAGE"/>
    <n v="0.47"/>
    <n v="0.81"/>
    <n v="6321.27"/>
    <n v="0"/>
    <n v="6912.3456790123455"/>
    <n v="33"/>
    <n v="722.27000000000044"/>
  </r>
  <r>
    <s v="L0524"/>
    <x v="419"/>
    <s v="B0524"/>
    <x v="2"/>
    <x v="522"/>
    <n v="5.9"/>
    <n v="36"/>
    <x v="2"/>
    <x v="1"/>
    <x v="1"/>
    <x v="520"/>
    <s v="OWN"/>
    <n v="0.28999999999999998"/>
    <n v="0.84"/>
    <n v="0"/>
    <n v="0"/>
    <n v="42911.904761904763"/>
    <n v="54"/>
    <n v="-36046"/>
  </r>
  <r>
    <s v="L0525"/>
    <x v="420"/>
    <s v="B0525"/>
    <x v="3"/>
    <x v="523"/>
    <n v="10.6"/>
    <n v="60"/>
    <x v="1"/>
    <x v="4"/>
    <x v="4"/>
    <x v="521"/>
    <s v="MORTGAGE"/>
    <n v="0.28000000000000003"/>
    <n v="0.6"/>
    <n v="9786.24"/>
    <n v="0"/>
    <n v="61538.333333333336"/>
    <n v="39"/>
    <n v="-27136.760000000002"/>
  </r>
  <r>
    <s v="L0526"/>
    <x v="421"/>
    <s v="B0526"/>
    <x v="3"/>
    <x v="524"/>
    <n v="21.3"/>
    <n v="60"/>
    <x v="1"/>
    <x v="6"/>
    <x v="3"/>
    <x v="522"/>
    <s v="OWN"/>
    <n v="0.11"/>
    <n v="0.89"/>
    <n v="724.86"/>
    <n v="0"/>
    <n v="5408.9887640449433"/>
    <n v="47"/>
    <n v="-4089.14"/>
  </r>
  <r>
    <s v="L0527"/>
    <x v="422"/>
    <s v="B0527"/>
    <x v="8"/>
    <x v="525"/>
    <n v="10.7"/>
    <n v="36"/>
    <x v="1"/>
    <x v="4"/>
    <x v="1"/>
    <x v="523"/>
    <s v="OWN"/>
    <n v="0.2"/>
    <n v="0.93"/>
    <n v="13592.29"/>
    <n v="0"/>
    <n v="39767.741935483871"/>
    <n v="62"/>
    <n v="-23391.71"/>
  </r>
  <r>
    <s v="L0528"/>
    <x v="390"/>
    <s v="B0528"/>
    <x v="2"/>
    <x v="526"/>
    <n v="21.4"/>
    <n v="36"/>
    <x v="0"/>
    <x v="4"/>
    <x v="1"/>
    <x v="524"/>
    <s v="OWN"/>
    <n v="0.45"/>
    <n v="0.61"/>
    <n v="33525.82"/>
    <n v="0"/>
    <n v="45272.131147540982"/>
    <n v="35"/>
    <n v="5909.82"/>
  </r>
  <r>
    <s v="L0529"/>
    <x v="200"/>
    <s v="B0529"/>
    <x v="5"/>
    <x v="527"/>
    <n v="15.6"/>
    <n v="60"/>
    <x v="1"/>
    <x v="0"/>
    <x v="0"/>
    <x v="525"/>
    <s v="RENT"/>
    <n v="0.17"/>
    <n v="0.9"/>
    <n v="422.95"/>
    <n v="0"/>
    <n v="3458.8888888888887"/>
    <n v="36"/>
    <n v="-2690.05"/>
  </r>
  <r>
    <s v="L0530"/>
    <x v="262"/>
    <s v="B0530"/>
    <x v="2"/>
    <x v="528"/>
    <n v="22.6"/>
    <n v="60"/>
    <x v="0"/>
    <x v="5"/>
    <x v="4"/>
    <x v="526"/>
    <s v="OWN"/>
    <n v="0.27"/>
    <n v="0.54"/>
    <n v="18095.759999999998"/>
    <n v="0"/>
    <n v="27333.333333333332"/>
    <n v="33"/>
    <n v="3335.7599999999984"/>
  </r>
  <r>
    <s v="L0531"/>
    <x v="100"/>
    <s v="B0531"/>
    <x v="0"/>
    <x v="529"/>
    <n v="16.5"/>
    <n v="60"/>
    <x v="1"/>
    <x v="1"/>
    <x v="2"/>
    <x v="527"/>
    <s v="OWN"/>
    <n v="0.11"/>
    <n v="0.53"/>
    <n v="6850.1"/>
    <n v="0"/>
    <n v="43258.490566037734"/>
    <n v="28"/>
    <n v="-16076.9"/>
  </r>
  <r>
    <s v="L0532"/>
    <x v="305"/>
    <s v="B0532"/>
    <x v="0"/>
    <x v="530"/>
    <n v="5.6"/>
    <n v="36"/>
    <x v="1"/>
    <x v="0"/>
    <x v="1"/>
    <x v="528"/>
    <s v="RENT"/>
    <n v="0.28999999999999998"/>
    <n v="0.56000000000000005"/>
    <n v="3597.13"/>
    <n v="0"/>
    <n v="39176.78571428571"/>
    <n v="29"/>
    <n v="-18341.87"/>
  </r>
  <r>
    <s v="L0533"/>
    <x v="423"/>
    <s v="B0533"/>
    <x v="0"/>
    <x v="531"/>
    <n v="18.5"/>
    <n v="36"/>
    <x v="3"/>
    <x v="4"/>
    <x v="3"/>
    <x v="529"/>
    <s v="OWN"/>
    <n v="0.11"/>
    <n v="0.53"/>
    <n v="12922.67"/>
    <n v="11291.82"/>
    <n v="63054.716981132071"/>
    <n v="50"/>
    <n v="-9204.510000000002"/>
  </r>
  <r>
    <s v="L0534"/>
    <x v="424"/>
    <s v="B0534"/>
    <x v="0"/>
    <x v="532"/>
    <n v="5.9"/>
    <n v="36"/>
    <x v="0"/>
    <x v="6"/>
    <x v="0"/>
    <x v="530"/>
    <s v="OWN"/>
    <n v="0.43"/>
    <n v="0.88"/>
    <n v="14389.69"/>
    <n v="0"/>
    <n v="15440.90909090909"/>
    <n v="26"/>
    <n v="801.69000000000051"/>
  </r>
  <r>
    <s v="L0535"/>
    <x v="425"/>
    <s v="B0535"/>
    <x v="9"/>
    <x v="533"/>
    <n v="14"/>
    <n v="36"/>
    <x v="0"/>
    <x v="4"/>
    <x v="0"/>
    <x v="531"/>
    <s v="MORTGAGE"/>
    <n v="0.43"/>
    <n v="0.53"/>
    <n v="42341.88"/>
    <n v="0"/>
    <n v="70079.24528301887"/>
    <n v="57"/>
    <n v="5199.8799999999974"/>
  </r>
  <r>
    <s v="L0536"/>
    <x v="426"/>
    <s v="B0536"/>
    <x v="3"/>
    <x v="534"/>
    <n v="23.6"/>
    <n v="60"/>
    <x v="0"/>
    <x v="0"/>
    <x v="1"/>
    <x v="532"/>
    <s v="OWN"/>
    <n v="0.42"/>
    <n v="0.62"/>
    <n v="42514.69"/>
    <n v="0"/>
    <n v="55479.032258064515"/>
    <n v="55"/>
    <n v="8117.6900000000023"/>
  </r>
  <r>
    <s v="L0537"/>
    <x v="345"/>
    <s v="B0537"/>
    <x v="2"/>
    <x v="535"/>
    <n v="8.3000000000000007"/>
    <n v="36"/>
    <x v="1"/>
    <x v="1"/>
    <x v="1"/>
    <x v="533"/>
    <s v="OWN"/>
    <n v="0.21"/>
    <n v="0.55000000000000004"/>
    <n v="1110.0899999999999"/>
    <n v="0"/>
    <n v="32096.363636363632"/>
    <n v="56"/>
    <n v="-16542.91"/>
  </r>
  <r>
    <s v="L0538"/>
    <x v="427"/>
    <s v="B0538"/>
    <x v="3"/>
    <x v="536"/>
    <n v="12.8"/>
    <n v="36"/>
    <x v="0"/>
    <x v="0"/>
    <x v="1"/>
    <x v="534"/>
    <s v="OWN"/>
    <n v="0.43"/>
    <n v="0.63"/>
    <n v="13345.37"/>
    <n v="0"/>
    <n v="18779.365079365078"/>
    <n v="34"/>
    <n v="1514.3700000000008"/>
  </r>
  <r>
    <s v="L0539"/>
    <x v="428"/>
    <s v="B0539"/>
    <x v="4"/>
    <x v="537"/>
    <n v="19.600000000000001"/>
    <n v="36"/>
    <x v="0"/>
    <x v="2"/>
    <x v="2"/>
    <x v="535"/>
    <s v="OWN"/>
    <n v="0.32"/>
    <n v="0.54"/>
    <n v="8041.9"/>
    <n v="0"/>
    <n v="12451.85185185185"/>
    <n v="60"/>
    <n v="1317.8999999999996"/>
  </r>
  <r>
    <s v="L0540"/>
    <x v="429"/>
    <s v="B0540"/>
    <x v="2"/>
    <x v="538"/>
    <n v="22.6"/>
    <n v="60"/>
    <x v="1"/>
    <x v="0"/>
    <x v="1"/>
    <x v="536"/>
    <s v="OWN"/>
    <n v="0.25"/>
    <n v="0.8"/>
    <n v="1690.14"/>
    <n v="0"/>
    <n v="15103.75"/>
    <n v="35"/>
    <n v="-10392.86"/>
  </r>
  <r>
    <s v="L0541"/>
    <x v="104"/>
    <s v="B0541"/>
    <x v="9"/>
    <x v="539"/>
    <n v="18.399999999999999"/>
    <n v="60"/>
    <x v="1"/>
    <x v="1"/>
    <x v="4"/>
    <x v="537"/>
    <s v="RENT"/>
    <n v="0.35"/>
    <n v="0.56000000000000005"/>
    <n v="3310.57"/>
    <n v="0"/>
    <n v="37171.428571428565"/>
    <n v="36"/>
    <n v="-17505.43"/>
  </r>
  <r>
    <s v="L0542"/>
    <x v="430"/>
    <s v="B0542"/>
    <x v="4"/>
    <x v="540"/>
    <n v="10.199999999999999"/>
    <n v="36"/>
    <x v="0"/>
    <x v="5"/>
    <x v="3"/>
    <x v="538"/>
    <s v="OWN"/>
    <n v="0.1"/>
    <n v="0.88"/>
    <n v="8018.15"/>
    <n v="0"/>
    <n v="8268.181818181818"/>
    <n v="39"/>
    <n v="742.14999999999964"/>
  </r>
  <r>
    <s v="L0543"/>
    <x v="431"/>
    <s v="B0543"/>
    <x v="3"/>
    <x v="541"/>
    <n v="18.5"/>
    <n v="36"/>
    <x v="0"/>
    <x v="6"/>
    <x v="1"/>
    <x v="539"/>
    <s v="OWN"/>
    <n v="0.16"/>
    <n v="0.87"/>
    <n v="47000.66"/>
    <n v="0"/>
    <n v="45589.65517241379"/>
    <n v="59"/>
    <n v="7337.6600000000035"/>
  </r>
  <r>
    <s v="L0544"/>
    <x v="21"/>
    <s v="B0544"/>
    <x v="4"/>
    <x v="542"/>
    <n v="10.9"/>
    <n v="60"/>
    <x v="1"/>
    <x v="0"/>
    <x v="2"/>
    <x v="540"/>
    <s v="RENT"/>
    <n v="0.4"/>
    <n v="0.51"/>
    <n v="3543.54"/>
    <n v="0"/>
    <n v="29400"/>
    <n v="45"/>
    <n v="-11450.46"/>
  </r>
  <r>
    <s v="L0545"/>
    <x v="140"/>
    <s v="B0545"/>
    <x v="8"/>
    <x v="543"/>
    <n v="19.399999999999999"/>
    <n v="60"/>
    <x v="0"/>
    <x v="1"/>
    <x v="3"/>
    <x v="541"/>
    <s v="RENT"/>
    <n v="0.2"/>
    <n v="0.9"/>
    <n v="29251.81"/>
    <n v="0"/>
    <n v="27221.111111111109"/>
    <n v="49"/>
    <n v="4752.8100000000013"/>
  </r>
  <r>
    <s v="L0546"/>
    <x v="432"/>
    <s v="B0546"/>
    <x v="4"/>
    <x v="544"/>
    <n v="24.1"/>
    <n v="60"/>
    <x v="1"/>
    <x v="5"/>
    <x v="0"/>
    <x v="542"/>
    <s v="OWN"/>
    <n v="0.34"/>
    <n v="0.51"/>
    <n v="3719.68"/>
    <n v="0"/>
    <n v="47137.254901960783"/>
    <n v="49"/>
    <n v="-20320.32"/>
  </r>
  <r>
    <s v="L0547"/>
    <x v="266"/>
    <s v="B0547"/>
    <x v="2"/>
    <x v="545"/>
    <n v="19.399999999999999"/>
    <n v="60"/>
    <x v="0"/>
    <x v="5"/>
    <x v="1"/>
    <x v="543"/>
    <s v="OWN"/>
    <n v="0.25"/>
    <n v="0.61"/>
    <n v="21443.05"/>
    <n v="0"/>
    <n v="29440.983606557376"/>
    <n v="35"/>
    <n v="3484.0499999999993"/>
  </r>
  <r>
    <s v="L0548"/>
    <x v="211"/>
    <s v="B0548"/>
    <x v="0"/>
    <x v="546"/>
    <n v="22.3"/>
    <n v="60"/>
    <x v="3"/>
    <x v="5"/>
    <x v="3"/>
    <x v="544"/>
    <s v="OWN"/>
    <n v="0.44"/>
    <n v="0.51"/>
    <n v="1756.33"/>
    <n v="874.52"/>
    <n v="13919.607843137255"/>
    <n v="45"/>
    <n v="-4468.1499999999996"/>
  </r>
  <r>
    <s v="L0549"/>
    <x v="383"/>
    <s v="B0549"/>
    <x v="0"/>
    <x v="547"/>
    <n v="5"/>
    <n v="60"/>
    <x v="0"/>
    <x v="1"/>
    <x v="0"/>
    <x v="545"/>
    <s v="MORTGAGE"/>
    <n v="0.48"/>
    <n v="0.65"/>
    <n v="21604.799999999999"/>
    <n v="0"/>
    <n v="31655.384615384613"/>
    <n v="46"/>
    <n v="1028.7999999999993"/>
  </r>
  <r>
    <s v="L0550"/>
    <x v="420"/>
    <s v="B0550"/>
    <x v="5"/>
    <x v="548"/>
    <n v="19.399999999999999"/>
    <n v="60"/>
    <x v="0"/>
    <x v="2"/>
    <x v="2"/>
    <x v="546"/>
    <s v="MORTGAGE"/>
    <n v="0.45"/>
    <n v="0.73"/>
    <n v="44113.52"/>
    <n v="0"/>
    <n v="50610.95890410959"/>
    <n v="39"/>
    <n v="7167.5199999999968"/>
  </r>
  <r>
    <s v="L0551"/>
    <x v="433"/>
    <s v="B0551"/>
    <x v="3"/>
    <x v="549"/>
    <n v="21.6"/>
    <n v="60"/>
    <x v="1"/>
    <x v="0"/>
    <x v="4"/>
    <x v="547"/>
    <s v="OWN"/>
    <n v="0.21"/>
    <n v="0.86"/>
    <n v="3149.61"/>
    <n v="0"/>
    <n v="8274.4186046511622"/>
    <n v="37"/>
    <n v="-3966.39"/>
  </r>
  <r>
    <s v="L0552"/>
    <x v="434"/>
    <s v="B0552"/>
    <x v="8"/>
    <x v="550"/>
    <n v="5.8"/>
    <n v="36"/>
    <x v="1"/>
    <x v="0"/>
    <x v="1"/>
    <x v="548"/>
    <s v="RENT"/>
    <n v="0.18"/>
    <n v="0.65"/>
    <n v="6135.41"/>
    <n v="0"/>
    <n v="25481.538461538461"/>
    <n v="28"/>
    <n v="-10427.59"/>
  </r>
  <r>
    <s v="L0553"/>
    <x v="288"/>
    <s v="B0553"/>
    <x v="2"/>
    <x v="551"/>
    <n v="22.4"/>
    <n v="36"/>
    <x v="0"/>
    <x v="6"/>
    <x v="4"/>
    <x v="549"/>
    <s v="OWN"/>
    <n v="0.28999999999999998"/>
    <n v="0.82"/>
    <n v="34012.51"/>
    <n v="0"/>
    <n v="33887.804878048781"/>
    <n v="29"/>
    <n v="6224.510000000002"/>
  </r>
  <r>
    <s v="L0554"/>
    <x v="435"/>
    <s v="B0554"/>
    <x v="2"/>
    <x v="552"/>
    <n v="10.1"/>
    <n v="36"/>
    <x v="1"/>
    <x v="0"/>
    <x v="2"/>
    <x v="550"/>
    <s v="RENT"/>
    <n v="0.1"/>
    <n v="0.57999999999999996"/>
    <n v="8685.1299999999992"/>
    <n v="0"/>
    <n v="48151.724137931036"/>
    <n v="40"/>
    <n v="-19242.870000000003"/>
  </r>
  <r>
    <s v="L0555"/>
    <x v="379"/>
    <s v="B0555"/>
    <x v="6"/>
    <x v="553"/>
    <n v="18.3"/>
    <n v="36"/>
    <x v="0"/>
    <x v="3"/>
    <x v="3"/>
    <x v="551"/>
    <s v="RENT"/>
    <n v="0.11"/>
    <n v="0.84"/>
    <n v="44168.49"/>
    <n v="0"/>
    <n v="44447.619047619046"/>
    <n v="39"/>
    <n v="6832.489999999998"/>
  </r>
  <r>
    <s v="L0556"/>
    <x v="436"/>
    <s v="B0556"/>
    <x v="7"/>
    <x v="554"/>
    <n v="21"/>
    <n v="36"/>
    <x v="3"/>
    <x v="5"/>
    <x v="3"/>
    <x v="552"/>
    <s v="RENT"/>
    <n v="0.32"/>
    <n v="0.61"/>
    <n v="1374.33"/>
    <n v="4848.7"/>
    <n v="17781.967213114753"/>
    <n v="59"/>
    <n v="-4623.97"/>
  </r>
  <r>
    <s v="L0557"/>
    <x v="333"/>
    <s v="B0557"/>
    <x v="3"/>
    <x v="555"/>
    <n v="18.3"/>
    <n v="36"/>
    <x v="1"/>
    <x v="1"/>
    <x v="2"/>
    <x v="553"/>
    <s v="OWN"/>
    <n v="0.31"/>
    <n v="0.56000000000000005"/>
    <n v="9838.16"/>
    <n v="0"/>
    <n v="48491.071428571428"/>
    <n v="47"/>
    <n v="-17316.84"/>
  </r>
  <r>
    <s v="L0558"/>
    <x v="437"/>
    <s v="B0558"/>
    <x v="2"/>
    <x v="556"/>
    <n v="6.8"/>
    <n v="60"/>
    <x v="0"/>
    <x v="0"/>
    <x v="2"/>
    <x v="554"/>
    <s v="OWN"/>
    <n v="0.5"/>
    <n v="0.57999999999999996"/>
    <n v="16164.18"/>
    <n v="0"/>
    <n v="26094.827586206899"/>
    <n v="62"/>
    <n v="1029.1800000000003"/>
  </r>
  <r>
    <s v="L0559"/>
    <x v="249"/>
    <s v="B0559"/>
    <x v="1"/>
    <x v="557"/>
    <n v="16.899999999999999"/>
    <n v="60"/>
    <x v="1"/>
    <x v="0"/>
    <x v="1"/>
    <x v="555"/>
    <s v="RENT"/>
    <n v="0.18"/>
    <n v="0.57999999999999996"/>
    <n v="2344.62"/>
    <n v="0"/>
    <n v="32368.96551724138"/>
    <n v="60"/>
    <n v="-16429.38"/>
  </r>
  <r>
    <s v="L0560"/>
    <x v="239"/>
    <s v="B0560"/>
    <x v="2"/>
    <x v="558"/>
    <n v="16"/>
    <n v="36"/>
    <x v="0"/>
    <x v="1"/>
    <x v="0"/>
    <x v="556"/>
    <s v="MORTGAGE"/>
    <n v="0.2"/>
    <n v="0.73"/>
    <n v="3180.72"/>
    <n v="0"/>
    <n v="3756.1643835616437"/>
    <n v="40"/>
    <n v="438.7199999999998"/>
  </r>
  <r>
    <s v="L0561"/>
    <x v="438"/>
    <s v="B0561"/>
    <x v="6"/>
    <x v="559"/>
    <n v="23"/>
    <n v="36"/>
    <x v="0"/>
    <x v="2"/>
    <x v="4"/>
    <x v="557"/>
    <s v="MORTGAGE"/>
    <n v="0.15"/>
    <n v="0.88"/>
    <n v="23750.07"/>
    <n v="0"/>
    <n v="21942.045454545456"/>
    <n v="39"/>
    <n v="4441.07"/>
  </r>
  <r>
    <s v="L0562"/>
    <x v="439"/>
    <s v="B0562"/>
    <x v="4"/>
    <x v="560"/>
    <n v="13.1"/>
    <n v="60"/>
    <x v="2"/>
    <x v="3"/>
    <x v="4"/>
    <x v="558"/>
    <s v="MORTGAGE"/>
    <n v="0.47"/>
    <n v="0.54"/>
    <n v="0"/>
    <n v="0"/>
    <n v="2998.1481481481478"/>
    <n v="47"/>
    <n v="-1619"/>
  </r>
  <r>
    <s v="L0563"/>
    <x v="169"/>
    <s v="B0563"/>
    <x v="9"/>
    <x v="561"/>
    <n v="11.4"/>
    <n v="60"/>
    <x v="1"/>
    <x v="0"/>
    <x v="3"/>
    <x v="559"/>
    <s v="RENT"/>
    <n v="0.41"/>
    <n v="0.82"/>
    <n v="7535.32"/>
    <n v="0"/>
    <n v="22753.658536585368"/>
    <n v="33"/>
    <n v="-11122.68"/>
  </r>
  <r>
    <s v="L0564"/>
    <x v="283"/>
    <s v="B0564"/>
    <x v="9"/>
    <x v="562"/>
    <n v="20"/>
    <n v="60"/>
    <x v="0"/>
    <x v="0"/>
    <x v="3"/>
    <x v="560"/>
    <s v="OWN"/>
    <n v="0.43"/>
    <n v="0.79"/>
    <n v="42848.4"/>
    <n v="0"/>
    <n v="45198.734177215185"/>
    <n v="46"/>
    <n v="7141.4000000000015"/>
  </r>
  <r>
    <s v="L0565"/>
    <x v="440"/>
    <s v="B0565"/>
    <x v="1"/>
    <x v="563"/>
    <n v="13.3"/>
    <n v="36"/>
    <x v="0"/>
    <x v="0"/>
    <x v="1"/>
    <x v="561"/>
    <s v="RENT"/>
    <n v="0.46"/>
    <n v="0.89"/>
    <n v="24174.82"/>
    <n v="0"/>
    <n v="23974.157303370786"/>
    <n v="61"/>
    <n v="2837.8199999999997"/>
  </r>
  <r>
    <s v="L0566"/>
    <x v="441"/>
    <s v="B0566"/>
    <x v="1"/>
    <x v="564"/>
    <n v="17.899999999999999"/>
    <n v="60"/>
    <x v="0"/>
    <x v="6"/>
    <x v="2"/>
    <x v="562"/>
    <s v="MORTGAGE"/>
    <n v="0.31"/>
    <n v="0.61"/>
    <n v="20044.18"/>
    <n v="0"/>
    <n v="27870.491803278688"/>
    <n v="59"/>
    <n v="3043.1800000000003"/>
  </r>
  <r>
    <s v="L0567"/>
    <x v="287"/>
    <s v="B0567"/>
    <x v="5"/>
    <x v="565"/>
    <n v="17.899999999999999"/>
    <n v="36"/>
    <x v="2"/>
    <x v="4"/>
    <x v="4"/>
    <x v="563"/>
    <s v="OWN"/>
    <n v="0.28000000000000003"/>
    <n v="0.7"/>
    <n v="0"/>
    <n v="0"/>
    <n v="2811.4285714285716"/>
    <n v="57"/>
    <n v="-1968"/>
  </r>
  <r>
    <s v="L0568"/>
    <x v="442"/>
    <s v="B0568"/>
    <x v="9"/>
    <x v="566"/>
    <n v="22.8"/>
    <n v="36"/>
    <x v="0"/>
    <x v="0"/>
    <x v="1"/>
    <x v="564"/>
    <s v="RENT"/>
    <n v="0.23"/>
    <n v="0.92"/>
    <n v="33023.379999999997"/>
    <n v="0"/>
    <n v="29230.434782608696"/>
    <n v="54"/>
    <n v="6131.3799999999974"/>
  </r>
  <r>
    <s v="L0569"/>
    <x v="443"/>
    <s v="B0569"/>
    <x v="4"/>
    <x v="567"/>
    <n v="17"/>
    <n v="60"/>
    <x v="0"/>
    <x v="0"/>
    <x v="3"/>
    <x v="565"/>
    <s v="RENT"/>
    <n v="0.34"/>
    <n v="0.8"/>
    <n v="31144.23"/>
    <n v="0"/>
    <n v="33273.75"/>
    <n v="40"/>
    <n v="4525.2299999999996"/>
  </r>
  <r>
    <s v="L0570"/>
    <x v="197"/>
    <s v="B0570"/>
    <x v="9"/>
    <x v="568"/>
    <n v="15"/>
    <n v="60"/>
    <x v="0"/>
    <x v="4"/>
    <x v="3"/>
    <x v="566"/>
    <s v="MORTGAGE"/>
    <n v="0.28000000000000003"/>
    <n v="0.67"/>
    <n v="1473.15"/>
    <n v="0"/>
    <n v="1911.9402985074626"/>
    <n v="48"/>
    <n v="192.15000000000009"/>
  </r>
  <r>
    <s v="L0571"/>
    <x v="444"/>
    <s v="B0571"/>
    <x v="7"/>
    <x v="569"/>
    <n v="7.8"/>
    <n v="36"/>
    <x v="0"/>
    <x v="3"/>
    <x v="4"/>
    <x v="567"/>
    <s v="RENT"/>
    <n v="0.28000000000000003"/>
    <n v="0.56000000000000005"/>
    <n v="30636.76"/>
    <n v="0"/>
    <n v="50749.999999999993"/>
    <n v="58"/>
    <n v="2216.7599999999984"/>
  </r>
  <r>
    <s v="L0572"/>
    <x v="433"/>
    <s v="B0572"/>
    <x v="3"/>
    <x v="570"/>
    <n v="7.3"/>
    <n v="60"/>
    <x v="0"/>
    <x v="5"/>
    <x v="3"/>
    <x v="568"/>
    <s v="OWN"/>
    <n v="0.47"/>
    <n v="0.62"/>
    <n v="17554.28"/>
    <n v="0"/>
    <n v="26387.096774193549"/>
    <n v="37"/>
    <n v="1194.2799999999988"/>
  </r>
  <r>
    <s v="L0573"/>
    <x v="445"/>
    <s v="B0573"/>
    <x v="9"/>
    <x v="571"/>
    <n v="8.1"/>
    <n v="60"/>
    <x v="0"/>
    <x v="0"/>
    <x v="3"/>
    <x v="569"/>
    <s v="MORTGAGE"/>
    <n v="0.49"/>
    <n v="0.76"/>
    <n v="2224.6999999999998"/>
    <n v="0"/>
    <n v="2707.8947368421054"/>
    <n v="53"/>
    <n v="166.69999999999982"/>
  </r>
  <r>
    <s v="L0574"/>
    <x v="255"/>
    <s v="B0574"/>
    <x v="0"/>
    <x v="572"/>
    <n v="8.4"/>
    <n v="36"/>
    <x v="0"/>
    <x v="4"/>
    <x v="0"/>
    <x v="570"/>
    <s v="MORTGAGE"/>
    <n v="0.42"/>
    <n v="0.82"/>
    <n v="23497.87"/>
    <n v="0"/>
    <n v="26435.365853658539"/>
    <n v="27"/>
    <n v="1820.869999999999"/>
  </r>
  <r>
    <s v="L0575"/>
    <x v="446"/>
    <s v="B0575"/>
    <x v="5"/>
    <x v="573"/>
    <n v="17.8"/>
    <n v="60"/>
    <x v="0"/>
    <x v="4"/>
    <x v="2"/>
    <x v="571"/>
    <s v="OWN"/>
    <n v="0.4"/>
    <n v="0.56000000000000005"/>
    <n v="13810.87"/>
    <n v="0"/>
    <n v="20935.714285714283"/>
    <n v="54"/>
    <n v="2086.8700000000008"/>
  </r>
  <r>
    <s v="L0576"/>
    <x v="447"/>
    <s v="B0576"/>
    <x v="6"/>
    <x v="574"/>
    <n v="19.8"/>
    <n v="36"/>
    <x v="3"/>
    <x v="0"/>
    <x v="3"/>
    <x v="572"/>
    <s v="MORTGAGE"/>
    <n v="0.37"/>
    <n v="0.77"/>
    <n v="5146.2"/>
    <n v="7396.67"/>
    <n v="38187.012987012989"/>
    <n v="49"/>
    <n v="-16861.13"/>
  </r>
  <r>
    <s v="L0577"/>
    <x v="448"/>
    <s v="B0577"/>
    <x v="1"/>
    <x v="575"/>
    <n v="15.6"/>
    <n v="36"/>
    <x v="0"/>
    <x v="0"/>
    <x v="0"/>
    <x v="573"/>
    <s v="RENT"/>
    <n v="0.17"/>
    <n v="0.75"/>
    <n v="45021.58"/>
    <n v="0"/>
    <n v="51928"/>
    <n v="30"/>
    <n v="6075.5800000000017"/>
  </r>
  <r>
    <s v="L0578"/>
    <x v="449"/>
    <s v="B0578"/>
    <x v="7"/>
    <x v="576"/>
    <n v="21.6"/>
    <n v="60"/>
    <x v="1"/>
    <x v="1"/>
    <x v="1"/>
    <x v="574"/>
    <s v="RENT"/>
    <n v="0.12"/>
    <n v="0.73"/>
    <n v="7333.61"/>
    <n v="0"/>
    <n v="42268.493150684932"/>
    <n v="37"/>
    <n v="-23522.39"/>
  </r>
  <r>
    <s v="L0579"/>
    <x v="145"/>
    <s v="B0579"/>
    <x v="1"/>
    <x v="577"/>
    <n v="24.8"/>
    <n v="36"/>
    <x v="1"/>
    <x v="0"/>
    <x v="3"/>
    <x v="575"/>
    <s v="MORTGAGE"/>
    <n v="0.38"/>
    <n v="0.81"/>
    <n v="2118.66"/>
    <n v="0"/>
    <n v="12592.592592592591"/>
    <n v="49"/>
    <n v="-8081.34"/>
  </r>
  <r>
    <s v="L0580"/>
    <x v="168"/>
    <s v="B0580"/>
    <x v="5"/>
    <x v="578"/>
    <n v="21.4"/>
    <n v="36"/>
    <x v="1"/>
    <x v="0"/>
    <x v="1"/>
    <x v="576"/>
    <s v="OWN"/>
    <n v="0.39"/>
    <n v="0.88"/>
    <n v="15275.01"/>
    <n v="0"/>
    <n v="39769.318181818184"/>
    <n v="42"/>
    <n v="-19721.989999999998"/>
  </r>
  <r>
    <s v="L0581"/>
    <x v="101"/>
    <s v="B0581"/>
    <x v="2"/>
    <x v="579"/>
    <n v="18.899999999999999"/>
    <n v="60"/>
    <x v="3"/>
    <x v="4"/>
    <x v="3"/>
    <x v="577"/>
    <s v="RENT"/>
    <n v="0.12"/>
    <n v="0.65"/>
    <n v="3671.34"/>
    <n v="13658.29"/>
    <n v="40940"/>
    <n v="37"/>
    <n v="-9281.369999999999"/>
  </r>
  <r>
    <s v="L0582"/>
    <x v="450"/>
    <s v="B0582"/>
    <x v="7"/>
    <x v="580"/>
    <n v="15.6"/>
    <n v="60"/>
    <x v="0"/>
    <x v="1"/>
    <x v="4"/>
    <x v="578"/>
    <s v="OWN"/>
    <n v="0.47"/>
    <n v="0.9"/>
    <n v="41681.89"/>
    <n v="0"/>
    <n v="40063.333333333336"/>
    <n v="32"/>
    <n v="5624.8899999999994"/>
  </r>
  <r>
    <s v="L0583"/>
    <x v="427"/>
    <s v="B0583"/>
    <x v="8"/>
    <x v="581"/>
    <n v="14"/>
    <n v="60"/>
    <x v="0"/>
    <x v="5"/>
    <x v="0"/>
    <x v="579"/>
    <s v="RENT"/>
    <n v="0.14000000000000001"/>
    <n v="0.56999999999999995"/>
    <n v="2552.46"/>
    <n v="0"/>
    <n v="3928.0701754385968"/>
    <n v="34"/>
    <n v="313.46000000000004"/>
  </r>
  <r>
    <s v="L0584"/>
    <x v="119"/>
    <s v="B0584"/>
    <x v="7"/>
    <x v="582"/>
    <n v="6.7"/>
    <n v="36"/>
    <x v="0"/>
    <x v="1"/>
    <x v="0"/>
    <x v="580"/>
    <s v="RENT"/>
    <n v="0.21"/>
    <n v="0.57999999999999996"/>
    <n v="41760.25"/>
    <n v="0"/>
    <n v="67479.310344827594"/>
    <n v="43"/>
    <n v="2622.25"/>
  </r>
  <r>
    <s v="L0585"/>
    <x v="451"/>
    <s v="B0585"/>
    <x v="5"/>
    <x v="583"/>
    <n v="13"/>
    <n v="36"/>
    <x v="0"/>
    <x v="5"/>
    <x v="4"/>
    <x v="581"/>
    <s v="MORTGAGE"/>
    <n v="0.37"/>
    <n v="0.62"/>
    <n v="1271.25"/>
    <n v="0"/>
    <n v="1814.516129032258"/>
    <n v="60"/>
    <n v="146.25"/>
  </r>
  <r>
    <s v="L0586"/>
    <x v="452"/>
    <s v="B0586"/>
    <x v="6"/>
    <x v="584"/>
    <n v="23.2"/>
    <n v="60"/>
    <x v="1"/>
    <x v="1"/>
    <x v="2"/>
    <x v="582"/>
    <s v="MORTGAGE"/>
    <n v="0.17"/>
    <n v="0.55000000000000004"/>
    <n v="7569.96"/>
    <n v="0"/>
    <n v="45194.545454545449"/>
    <n v="48"/>
    <n v="-17287.04"/>
  </r>
  <r>
    <s v="L0587"/>
    <x v="453"/>
    <s v="B0587"/>
    <x v="7"/>
    <x v="585"/>
    <n v="21.2"/>
    <n v="36"/>
    <x v="1"/>
    <x v="0"/>
    <x v="0"/>
    <x v="583"/>
    <s v="OWN"/>
    <n v="0.12"/>
    <n v="0.6"/>
    <n v="1868.19"/>
    <n v="0"/>
    <n v="27330"/>
    <n v="59"/>
    <n v="-14529.81"/>
  </r>
  <r>
    <s v="L0588"/>
    <x v="66"/>
    <s v="B0588"/>
    <x v="5"/>
    <x v="586"/>
    <n v="9.3000000000000007"/>
    <n v="60"/>
    <x v="3"/>
    <x v="2"/>
    <x v="1"/>
    <x v="584"/>
    <s v="MORTGAGE"/>
    <n v="0.23"/>
    <n v="0.55000000000000004"/>
    <n v="2378.77"/>
    <n v="1767.84"/>
    <n v="13887.272727272726"/>
    <n v="37"/>
    <n v="-3491.3900000000003"/>
  </r>
  <r>
    <s v="L0589"/>
    <x v="454"/>
    <s v="B0589"/>
    <x v="4"/>
    <x v="587"/>
    <n v="14.3"/>
    <n v="60"/>
    <x v="0"/>
    <x v="0"/>
    <x v="0"/>
    <x v="585"/>
    <s v="RENT"/>
    <n v="0.41"/>
    <n v="0.87"/>
    <n v="8652.51"/>
    <n v="0"/>
    <n v="8701.1494252873563"/>
    <n v="38"/>
    <n v="1082.5100000000002"/>
  </r>
  <r>
    <s v="L0590"/>
    <x v="10"/>
    <s v="B0590"/>
    <x v="3"/>
    <x v="588"/>
    <n v="21.3"/>
    <n v="36"/>
    <x v="3"/>
    <x v="4"/>
    <x v="2"/>
    <x v="586"/>
    <s v="RENT"/>
    <n v="0.27"/>
    <n v="0.56000000000000005"/>
    <n v="1578.6"/>
    <n v="1006.52"/>
    <n v="7587.4999999999991"/>
    <n v="36"/>
    <n v="-1663.88"/>
  </r>
  <r>
    <s v="L0591"/>
    <x v="455"/>
    <s v="B0591"/>
    <x v="9"/>
    <x v="589"/>
    <n v="6.3"/>
    <n v="60"/>
    <x v="0"/>
    <x v="1"/>
    <x v="1"/>
    <x v="587"/>
    <s v="OWN"/>
    <n v="0.36"/>
    <n v="0.84"/>
    <n v="10746.93"/>
    <n v="0"/>
    <n v="12035.714285714286"/>
    <n v="59"/>
    <n v="636.93000000000029"/>
  </r>
  <r>
    <s v="L0592"/>
    <x v="200"/>
    <s v="B0592"/>
    <x v="4"/>
    <x v="590"/>
    <n v="12.7"/>
    <n v="36"/>
    <x v="0"/>
    <x v="4"/>
    <x v="1"/>
    <x v="588"/>
    <s v="OWN"/>
    <n v="0.33"/>
    <n v="0.52"/>
    <n v="16459.84"/>
    <n v="0"/>
    <n v="28086.538461538461"/>
    <n v="36"/>
    <n v="1854.8400000000001"/>
  </r>
  <r>
    <s v="L0593"/>
    <x v="456"/>
    <s v="B0593"/>
    <x v="5"/>
    <x v="591"/>
    <n v="22"/>
    <n v="36"/>
    <x v="0"/>
    <x v="2"/>
    <x v="4"/>
    <x v="589"/>
    <s v="RENT"/>
    <n v="0.11"/>
    <n v="0.93"/>
    <n v="16000.3"/>
    <n v="0"/>
    <n v="14102.150537634408"/>
    <n v="34"/>
    <n v="2885.2999999999993"/>
  </r>
  <r>
    <s v="L0594"/>
    <x v="452"/>
    <s v="B0594"/>
    <x v="0"/>
    <x v="592"/>
    <n v="13.1"/>
    <n v="60"/>
    <x v="1"/>
    <x v="5"/>
    <x v="3"/>
    <x v="590"/>
    <s v="MORTGAGE"/>
    <n v="0.5"/>
    <n v="0.82"/>
    <n v="5871.91"/>
    <n v="0"/>
    <n v="29159.756097560978"/>
    <n v="48"/>
    <n v="-18039.09"/>
  </r>
  <r>
    <s v="L0595"/>
    <x v="457"/>
    <s v="B0595"/>
    <x v="2"/>
    <x v="593"/>
    <n v="6.6"/>
    <n v="36"/>
    <x v="0"/>
    <x v="6"/>
    <x v="4"/>
    <x v="591"/>
    <s v="MORTGAGE"/>
    <n v="0.12"/>
    <n v="0.5"/>
    <n v="42133.65"/>
    <n v="0"/>
    <n v="79050"/>
    <n v="47"/>
    <n v="2608.6500000000015"/>
  </r>
  <r>
    <s v="L0596"/>
    <x v="458"/>
    <s v="B0596"/>
    <x v="9"/>
    <x v="594"/>
    <n v="15.9"/>
    <n v="60"/>
    <x v="3"/>
    <x v="6"/>
    <x v="3"/>
    <x v="592"/>
    <s v="OWN"/>
    <n v="0.49"/>
    <n v="0.84"/>
    <n v="8269.1299999999992"/>
    <n v="9226.86"/>
    <n v="39947.619047619046"/>
    <n v="54"/>
    <n v="-16060.010000000002"/>
  </r>
  <r>
    <s v="L0597"/>
    <x v="459"/>
    <s v="B0597"/>
    <x v="0"/>
    <x v="595"/>
    <n v="22.2"/>
    <n v="36"/>
    <x v="3"/>
    <x v="3"/>
    <x v="4"/>
    <x v="593"/>
    <s v="OWN"/>
    <n v="0.32"/>
    <n v="0.73"/>
    <n v="5141.99"/>
    <n v="2205.12"/>
    <n v="18623.287671232876"/>
    <n v="57"/>
    <n v="-6247.89"/>
  </r>
  <r>
    <s v="L0598"/>
    <x v="460"/>
    <s v="B0598"/>
    <x v="6"/>
    <x v="596"/>
    <n v="16.8"/>
    <n v="36"/>
    <x v="3"/>
    <x v="2"/>
    <x v="3"/>
    <x v="594"/>
    <s v="RENT"/>
    <n v="0.49"/>
    <n v="0.85"/>
    <n v="760.95"/>
    <n v="303.63"/>
    <n v="3492.9411764705883"/>
    <n v="30"/>
    <n v="-1904.42"/>
  </r>
  <r>
    <s v="L0599"/>
    <x v="203"/>
    <s v="B0599"/>
    <x v="1"/>
    <x v="597"/>
    <n v="9.5"/>
    <n v="36"/>
    <x v="0"/>
    <x v="2"/>
    <x v="0"/>
    <x v="595"/>
    <s v="RENT"/>
    <n v="0.15"/>
    <n v="0.74"/>
    <n v="20011.12"/>
    <n v="0"/>
    <n v="24695.945945945947"/>
    <n v="29"/>
    <n v="1736.119999999999"/>
  </r>
  <r>
    <s v="L0600"/>
    <x v="461"/>
    <s v="B0600"/>
    <x v="8"/>
    <x v="598"/>
    <n v="12.7"/>
    <n v="60"/>
    <x v="3"/>
    <x v="1"/>
    <x v="1"/>
    <x v="596"/>
    <s v="OWN"/>
    <n v="0.3"/>
    <n v="0.79"/>
    <n v="1347.15"/>
    <n v="2258.6"/>
    <n v="6924.0506329113923"/>
    <n v="44"/>
    <n v="-1864.25"/>
  </r>
  <r>
    <s v="L0601"/>
    <x v="232"/>
    <s v="B0601"/>
    <x v="9"/>
    <x v="599"/>
    <n v="14"/>
    <n v="36"/>
    <x v="1"/>
    <x v="4"/>
    <x v="3"/>
    <x v="597"/>
    <s v="RENT"/>
    <n v="0.17"/>
    <n v="0.85"/>
    <n v="3482.53"/>
    <n v="0"/>
    <n v="13205.882352941177"/>
    <n v="37"/>
    <n v="-7742.4699999999993"/>
  </r>
  <r>
    <s v="L0602"/>
    <x v="462"/>
    <s v="B0602"/>
    <x v="4"/>
    <x v="600"/>
    <n v="16.600000000000001"/>
    <n v="60"/>
    <x v="0"/>
    <x v="0"/>
    <x v="0"/>
    <x v="598"/>
    <s v="OWN"/>
    <n v="0.12"/>
    <n v="0.68"/>
    <n v="28212.54"/>
    <n v="0"/>
    <n v="35582.352941176468"/>
    <n v="59"/>
    <n v="4016.5400000000009"/>
  </r>
  <r>
    <s v="L0603"/>
    <x v="463"/>
    <s v="B0603"/>
    <x v="2"/>
    <x v="601"/>
    <n v="20.2"/>
    <n v="36"/>
    <x v="0"/>
    <x v="1"/>
    <x v="2"/>
    <x v="599"/>
    <s v="OWN"/>
    <n v="0.35"/>
    <n v="0.5"/>
    <n v="17632.14"/>
    <n v="0"/>
    <n v="29338"/>
    <n v="58"/>
    <n v="2963.1399999999994"/>
  </r>
  <r>
    <s v="L0604"/>
    <x v="464"/>
    <s v="B0604"/>
    <x v="0"/>
    <x v="602"/>
    <n v="7"/>
    <n v="36"/>
    <x v="0"/>
    <x v="3"/>
    <x v="4"/>
    <x v="600"/>
    <s v="MORTGAGE"/>
    <n v="0.18"/>
    <n v="0.88"/>
    <n v="41066.6"/>
    <n v="0"/>
    <n v="43613.63636363636"/>
    <n v="36"/>
    <n v="2686.5999999999985"/>
  </r>
  <r>
    <s v="L0605"/>
    <x v="465"/>
    <s v="B0605"/>
    <x v="5"/>
    <x v="603"/>
    <n v="22.8"/>
    <n v="60"/>
    <x v="0"/>
    <x v="1"/>
    <x v="2"/>
    <x v="601"/>
    <s v="OWN"/>
    <n v="0.34"/>
    <n v="0.67"/>
    <n v="47899.37"/>
    <n v="0"/>
    <n v="58217.910447761191"/>
    <n v="33"/>
    <n v="8893.3700000000026"/>
  </r>
  <r>
    <s v="L0606"/>
    <x v="466"/>
    <s v="B0606"/>
    <x v="9"/>
    <x v="604"/>
    <n v="5.2"/>
    <n v="60"/>
    <x v="0"/>
    <x v="2"/>
    <x v="0"/>
    <x v="602"/>
    <s v="RENT"/>
    <n v="0.14000000000000001"/>
    <n v="0.72"/>
    <n v="17439"/>
    <n v="0"/>
    <n v="23023.611111111113"/>
    <n v="58"/>
    <n v="862"/>
  </r>
  <r>
    <s v="L0607"/>
    <x v="467"/>
    <s v="B0607"/>
    <x v="1"/>
    <x v="605"/>
    <n v="12.4"/>
    <n v="60"/>
    <x v="2"/>
    <x v="6"/>
    <x v="2"/>
    <x v="603"/>
    <s v="MORTGAGE"/>
    <n v="0.23"/>
    <n v="0.5"/>
    <n v="0"/>
    <n v="0"/>
    <n v="46946"/>
    <n v="56"/>
    <n v="-23473"/>
  </r>
  <r>
    <s v="L0608"/>
    <x v="229"/>
    <s v="B0608"/>
    <x v="5"/>
    <x v="606"/>
    <n v="5.5"/>
    <n v="60"/>
    <x v="0"/>
    <x v="0"/>
    <x v="2"/>
    <x v="604"/>
    <s v="MORTGAGE"/>
    <n v="0.41"/>
    <n v="0.72"/>
    <n v="31254.37"/>
    <n v="0"/>
    <n v="41145.833333333336"/>
    <n v="36"/>
    <n v="1629.369999999999"/>
  </r>
  <r>
    <s v="L0609"/>
    <x v="460"/>
    <s v="B0609"/>
    <x v="0"/>
    <x v="607"/>
    <n v="12.9"/>
    <n v="60"/>
    <x v="0"/>
    <x v="0"/>
    <x v="0"/>
    <x v="605"/>
    <s v="RENT"/>
    <n v="0.27"/>
    <n v="0.94"/>
    <n v="18633.02"/>
    <n v="0"/>
    <n v="17557.446808510638"/>
    <n v="30"/>
    <n v="2129.0200000000004"/>
  </r>
  <r>
    <s v="L0610"/>
    <x v="468"/>
    <s v="B0610"/>
    <x v="2"/>
    <x v="608"/>
    <n v="15.5"/>
    <n v="36"/>
    <x v="2"/>
    <x v="4"/>
    <x v="1"/>
    <x v="606"/>
    <s v="RENT"/>
    <n v="0.35"/>
    <n v="0.63"/>
    <n v="0"/>
    <n v="0"/>
    <n v="39823.809523809527"/>
    <n v="60"/>
    <n v="-25089"/>
  </r>
  <r>
    <s v="L0611"/>
    <x v="469"/>
    <s v="B0611"/>
    <x v="7"/>
    <x v="609"/>
    <n v="15.2"/>
    <n v="36"/>
    <x v="0"/>
    <x v="0"/>
    <x v="3"/>
    <x v="607"/>
    <s v="RENT"/>
    <n v="0.36"/>
    <n v="0.68"/>
    <n v="43185.02"/>
    <n v="0"/>
    <n v="55127.941176470587"/>
    <n v="44"/>
    <n v="5698.0199999999968"/>
  </r>
  <r>
    <s v="L0612"/>
    <x v="470"/>
    <s v="B0612"/>
    <x v="1"/>
    <x v="610"/>
    <n v="8.3000000000000007"/>
    <n v="60"/>
    <x v="3"/>
    <x v="5"/>
    <x v="4"/>
    <x v="608"/>
    <s v="OWN"/>
    <n v="0.44"/>
    <n v="0.81"/>
    <n v="399.41"/>
    <n v="452.5"/>
    <n v="1607.4074074074074"/>
    <n v="60"/>
    <n v="-450.08999999999992"/>
  </r>
  <r>
    <s v="L0613"/>
    <x v="471"/>
    <s v="B0613"/>
    <x v="5"/>
    <x v="31"/>
    <n v="17.899999999999999"/>
    <n v="36"/>
    <x v="0"/>
    <x v="3"/>
    <x v="3"/>
    <x v="609"/>
    <s v="MORTGAGE"/>
    <n v="0.23"/>
    <n v="0.87"/>
    <n v="38273.879999999997"/>
    <n v="0"/>
    <n v="37313.793103448275"/>
    <n v="55"/>
    <n v="5810.8799999999974"/>
  </r>
  <r>
    <s v="L0614"/>
    <x v="472"/>
    <s v="B0614"/>
    <x v="1"/>
    <x v="611"/>
    <n v="5.9"/>
    <n v="36"/>
    <x v="1"/>
    <x v="1"/>
    <x v="4"/>
    <x v="610"/>
    <s v="OWN"/>
    <n v="0.37"/>
    <n v="0.69"/>
    <n v="2968.33"/>
    <n v="0"/>
    <n v="43853.6231884058"/>
    <n v="58"/>
    <n v="-27290.67"/>
  </r>
  <r>
    <s v="L0615"/>
    <x v="473"/>
    <s v="B0615"/>
    <x v="6"/>
    <x v="612"/>
    <n v="20.2"/>
    <n v="36"/>
    <x v="0"/>
    <x v="4"/>
    <x v="3"/>
    <x v="611"/>
    <s v="OWN"/>
    <n v="0.48"/>
    <n v="0.64"/>
    <n v="45926.02"/>
    <n v="0"/>
    <n v="59700"/>
    <n v="61"/>
    <n v="7718.0199999999968"/>
  </r>
  <r>
    <s v="L0616"/>
    <x v="474"/>
    <s v="B0616"/>
    <x v="5"/>
    <x v="613"/>
    <n v="23.9"/>
    <n v="60"/>
    <x v="1"/>
    <x v="0"/>
    <x v="2"/>
    <x v="612"/>
    <s v="OWN"/>
    <n v="0.39"/>
    <n v="0.92"/>
    <n v="13280.94"/>
    <n v="0"/>
    <n v="34411.956521739128"/>
    <n v="58"/>
    <n v="-18378.059999999998"/>
  </r>
  <r>
    <s v="L0617"/>
    <x v="331"/>
    <s v="B0617"/>
    <x v="9"/>
    <x v="614"/>
    <n v="11.8"/>
    <n v="36"/>
    <x v="0"/>
    <x v="4"/>
    <x v="1"/>
    <x v="613"/>
    <s v="OWN"/>
    <n v="0.3"/>
    <n v="0.8"/>
    <n v="41187.120000000003"/>
    <n v="0"/>
    <n v="46050"/>
    <n v="37"/>
    <n v="4347.1200000000026"/>
  </r>
  <r>
    <s v="L0618"/>
    <x v="475"/>
    <s v="B0618"/>
    <x v="7"/>
    <x v="458"/>
    <n v="15.3"/>
    <n v="36"/>
    <x v="1"/>
    <x v="5"/>
    <x v="2"/>
    <x v="614"/>
    <s v="MORTGAGE"/>
    <n v="0.35"/>
    <n v="0.55000000000000004"/>
    <n v="8090.19"/>
    <n v="0"/>
    <n v="59799.999999999993"/>
    <n v="34"/>
    <n v="-24799.81"/>
  </r>
  <r>
    <s v="L0619"/>
    <x v="441"/>
    <s v="B0619"/>
    <x v="7"/>
    <x v="615"/>
    <n v="12.6"/>
    <n v="36"/>
    <x v="0"/>
    <x v="4"/>
    <x v="1"/>
    <x v="615"/>
    <s v="MORTGAGE"/>
    <n v="0.4"/>
    <n v="0.53"/>
    <n v="16437.349999999999"/>
    <n v="0"/>
    <n v="27543.396226415094"/>
    <n v="59"/>
    <n v="1839.3499999999985"/>
  </r>
  <r>
    <s v="L0620"/>
    <x v="465"/>
    <s v="B0620"/>
    <x v="8"/>
    <x v="616"/>
    <n v="5.0999999999999996"/>
    <n v="60"/>
    <x v="3"/>
    <x v="0"/>
    <x v="0"/>
    <x v="616"/>
    <s v="OWN"/>
    <n v="0.34"/>
    <n v="0.72"/>
    <n v="2495.92"/>
    <n v="3057.79"/>
    <n v="28483.333333333336"/>
    <n v="33"/>
    <n v="-14954.29"/>
  </r>
  <r>
    <s v="L0621"/>
    <x v="476"/>
    <s v="B0621"/>
    <x v="1"/>
    <x v="617"/>
    <n v="12.7"/>
    <n v="36"/>
    <x v="0"/>
    <x v="4"/>
    <x v="4"/>
    <x v="617"/>
    <s v="RENT"/>
    <n v="0.11"/>
    <n v="0.6"/>
    <n v="16206.26"/>
    <n v="0"/>
    <n v="23966.666666666668"/>
    <n v="50"/>
    <n v="1826.2600000000002"/>
  </r>
  <r>
    <s v="L0622"/>
    <x v="465"/>
    <s v="B0622"/>
    <x v="4"/>
    <x v="618"/>
    <n v="20.8"/>
    <n v="36"/>
    <x v="0"/>
    <x v="4"/>
    <x v="4"/>
    <x v="618"/>
    <s v="MORTGAGE"/>
    <n v="0.18"/>
    <n v="0.61"/>
    <n v="33804.67"/>
    <n v="0"/>
    <n v="45875.409836065577"/>
    <n v="33"/>
    <n v="5820.6699999999983"/>
  </r>
  <r>
    <s v="L0623"/>
    <x v="477"/>
    <s v="B0623"/>
    <x v="7"/>
    <x v="619"/>
    <n v="16.899999999999999"/>
    <n v="60"/>
    <x v="1"/>
    <x v="2"/>
    <x v="0"/>
    <x v="619"/>
    <s v="OWN"/>
    <n v="0.42"/>
    <n v="0.89"/>
    <n v="3684.51"/>
    <n v="0"/>
    <n v="10252.808988764045"/>
    <n v="53"/>
    <n v="-5440.49"/>
  </r>
  <r>
    <s v="L0624"/>
    <x v="478"/>
    <s v="B0624"/>
    <x v="7"/>
    <x v="620"/>
    <n v="7"/>
    <n v="60"/>
    <x v="0"/>
    <x v="0"/>
    <x v="3"/>
    <x v="620"/>
    <s v="RENT"/>
    <n v="0.21"/>
    <n v="0.54"/>
    <n v="39653.129999999997"/>
    <n v="0"/>
    <n v="68627.777777777766"/>
    <n v="40"/>
    <n v="2594.1299999999974"/>
  </r>
  <r>
    <s v="L0625"/>
    <x v="479"/>
    <s v="B0625"/>
    <x v="6"/>
    <x v="621"/>
    <n v="21.9"/>
    <n v="36"/>
    <x v="1"/>
    <x v="0"/>
    <x v="0"/>
    <x v="621"/>
    <s v="RENT"/>
    <n v="0.39"/>
    <n v="0.82"/>
    <n v="1105.3900000000001"/>
    <n v="0"/>
    <n v="6137.8048780487807"/>
    <n v="59"/>
    <n v="-3927.6099999999997"/>
  </r>
  <r>
    <s v="L0626"/>
    <x v="394"/>
    <s v="B0626"/>
    <x v="3"/>
    <x v="622"/>
    <n v="15.6"/>
    <n v="36"/>
    <x v="2"/>
    <x v="0"/>
    <x v="0"/>
    <x v="622"/>
    <s v="OWN"/>
    <n v="0.25"/>
    <n v="0.62"/>
    <n v="0"/>
    <n v="0"/>
    <n v="62698.387096774197"/>
    <n v="40"/>
    <n v="-38873"/>
  </r>
  <r>
    <s v="L0627"/>
    <x v="480"/>
    <s v="B0627"/>
    <x v="6"/>
    <x v="623"/>
    <n v="21.8"/>
    <n v="60"/>
    <x v="1"/>
    <x v="4"/>
    <x v="1"/>
    <x v="623"/>
    <s v="MORTGAGE"/>
    <n v="0.31"/>
    <n v="0.84"/>
    <n v="1721.26"/>
    <n v="0"/>
    <n v="21532.142857142859"/>
    <n v="60"/>
    <n v="-16365.74"/>
  </r>
  <r>
    <s v="L0628"/>
    <x v="279"/>
    <s v="B0628"/>
    <x v="6"/>
    <x v="624"/>
    <n v="16.600000000000001"/>
    <n v="60"/>
    <x v="0"/>
    <x v="1"/>
    <x v="0"/>
    <x v="624"/>
    <s v="RENT"/>
    <n v="0.13"/>
    <n v="0.83"/>
    <n v="7816.86"/>
    <n v="0"/>
    <n v="8077.1084337349403"/>
    <n v="41"/>
    <n v="1112.8599999999997"/>
  </r>
  <r>
    <s v="L0629"/>
    <x v="481"/>
    <s v="B0629"/>
    <x v="3"/>
    <x v="625"/>
    <n v="16.2"/>
    <n v="60"/>
    <x v="1"/>
    <x v="1"/>
    <x v="4"/>
    <x v="625"/>
    <s v="MORTGAGE"/>
    <n v="0.17"/>
    <n v="0.5"/>
    <n v="2965.85"/>
    <n v="0"/>
    <n v="17696"/>
    <n v="27"/>
    <n v="-5882.15"/>
  </r>
  <r>
    <s v="L0630"/>
    <x v="100"/>
    <s v="B0630"/>
    <x v="1"/>
    <x v="626"/>
    <n v="7.1"/>
    <n v="60"/>
    <x v="1"/>
    <x v="5"/>
    <x v="2"/>
    <x v="626"/>
    <s v="MORTGAGE"/>
    <n v="0.48"/>
    <n v="0.73"/>
    <n v="10077.370000000001"/>
    <n v="0"/>
    <n v="30947.945205479453"/>
    <n v="28"/>
    <n v="-12514.63"/>
  </r>
  <r>
    <s v="L0631"/>
    <x v="482"/>
    <s v="B0631"/>
    <x v="5"/>
    <x v="627"/>
    <n v="8.3000000000000007"/>
    <n v="60"/>
    <x v="1"/>
    <x v="1"/>
    <x v="1"/>
    <x v="627"/>
    <s v="RENT"/>
    <n v="0.46"/>
    <n v="0.56000000000000005"/>
    <n v="3561.75"/>
    <n v="0"/>
    <n v="14149.999999999998"/>
    <n v="42"/>
    <n v="-4362.25"/>
  </r>
  <r>
    <s v="L0632"/>
    <x v="120"/>
    <s v="B0632"/>
    <x v="2"/>
    <x v="628"/>
    <n v="24.4"/>
    <n v="60"/>
    <x v="0"/>
    <x v="4"/>
    <x v="1"/>
    <x v="628"/>
    <s v="OWN"/>
    <n v="0.36"/>
    <n v="0.89"/>
    <n v="35090.75"/>
    <n v="0"/>
    <n v="31694.382022471909"/>
    <n v="40"/>
    <n v="6882.75"/>
  </r>
  <r>
    <s v="L0633"/>
    <x v="483"/>
    <s v="B0633"/>
    <x v="4"/>
    <x v="629"/>
    <n v="9.6"/>
    <n v="60"/>
    <x v="0"/>
    <x v="1"/>
    <x v="3"/>
    <x v="629"/>
    <s v="RENT"/>
    <n v="0.28000000000000003"/>
    <n v="0.89"/>
    <n v="22592.94"/>
    <n v="0"/>
    <n v="23161.797752808987"/>
    <n v="45"/>
    <n v="1978.9399999999987"/>
  </r>
  <r>
    <s v="L0634"/>
    <x v="254"/>
    <s v="B0634"/>
    <x v="7"/>
    <x v="630"/>
    <n v="24.5"/>
    <n v="36"/>
    <x v="0"/>
    <x v="0"/>
    <x v="2"/>
    <x v="630"/>
    <s v="RENT"/>
    <n v="0.37"/>
    <n v="0.69"/>
    <n v="1852.56"/>
    <n v="0"/>
    <n v="2156.521739130435"/>
    <n v="35"/>
    <n v="364.55999999999995"/>
  </r>
  <r>
    <s v="L0635"/>
    <x v="484"/>
    <s v="B0635"/>
    <x v="8"/>
    <x v="631"/>
    <n v="15.6"/>
    <n v="60"/>
    <x v="0"/>
    <x v="4"/>
    <x v="1"/>
    <x v="631"/>
    <s v="MORTGAGE"/>
    <n v="0.35"/>
    <n v="0.7"/>
    <n v="31122.99"/>
    <n v="0"/>
    <n v="38461.428571428572"/>
    <n v="41"/>
    <n v="4199.9900000000016"/>
  </r>
  <r>
    <s v="L0636"/>
    <x v="485"/>
    <s v="B0636"/>
    <x v="4"/>
    <x v="632"/>
    <n v="7.7"/>
    <n v="60"/>
    <x v="0"/>
    <x v="6"/>
    <x v="0"/>
    <x v="632"/>
    <s v="OWN"/>
    <n v="0.33"/>
    <n v="0.64"/>
    <n v="39785.46"/>
    <n v="0"/>
    <n v="57720.3125"/>
    <n v="54"/>
    <n v="2844.4599999999991"/>
  </r>
  <r>
    <s v="L0637"/>
    <x v="486"/>
    <s v="B0637"/>
    <x v="5"/>
    <x v="633"/>
    <n v="7"/>
    <n v="36"/>
    <x v="0"/>
    <x v="6"/>
    <x v="1"/>
    <x v="633"/>
    <s v="MORTGAGE"/>
    <n v="0.12"/>
    <n v="0.82"/>
    <n v="32276.55"/>
    <n v="0"/>
    <n v="36786.585365853658"/>
    <n v="45"/>
    <n v="2111.5499999999993"/>
  </r>
  <r>
    <s v="L0638"/>
    <x v="167"/>
    <s v="B0638"/>
    <x v="3"/>
    <x v="634"/>
    <n v="9.1999999999999993"/>
    <n v="60"/>
    <x v="1"/>
    <x v="1"/>
    <x v="1"/>
    <x v="634"/>
    <s v="RENT"/>
    <n v="0.35"/>
    <n v="0.66"/>
    <n v="1282.69"/>
    <n v="0"/>
    <n v="4040.9090909090905"/>
    <n v="51"/>
    <n v="-1384.31"/>
  </r>
  <r>
    <s v="L0639"/>
    <x v="210"/>
    <s v="B0639"/>
    <x v="4"/>
    <x v="635"/>
    <n v="23.5"/>
    <n v="60"/>
    <x v="3"/>
    <x v="0"/>
    <x v="1"/>
    <x v="635"/>
    <s v="OWN"/>
    <n v="0.41"/>
    <n v="0.62"/>
    <n v="9805.16"/>
    <n v="8501.7099999999991"/>
    <n v="43891.93548387097"/>
    <n v="27"/>
    <n v="-8906.130000000001"/>
  </r>
  <r>
    <s v="L0640"/>
    <x v="469"/>
    <s v="B0640"/>
    <x v="7"/>
    <x v="636"/>
    <n v="13.3"/>
    <n v="36"/>
    <x v="1"/>
    <x v="0"/>
    <x v="3"/>
    <x v="636"/>
    <s v="OWN"/>
    <n v="0.5"/>
    <n v="0.69"/>
    <n v="260.63"/>
    <n v="0"/>
    <n v="7411.594202898551"/>
    <n v="44"/>
    <n v="-4853.37"/>
  </r>
  <r>
    <s v="L0641"/>
    <x v="487"/>
    <s v="B0641"/>
    <x v="4"/>
    <x v="637"/>
    <n v="12.9"/>
    <n v="60"/>
    <x v="0"/>
    <x v="3"/>
    <x v="1"/>
    <x v="637"/>
    <s v="OWN"/>
    <n v="0.1"/>
    <n v="0.54"/>
    <n v="42135.41"/>
    <n v="0"/>
    <n v="69112.962962962964"/>
    <n v="36"/>
    <n v="4814.4100000000035"/>
  </r>
  <r>
    <s v="L0642"/>
    <x v="458"/>
    <s v="B0642"/>
    <x v="2"/>
    <x v="638"/>
    <n v="11.3"/>
    <n v="36"/>
    <x v="0"/>
    <x v="0"/>
    <x v="1"/>
    <x v="638"/>
    <s v="OWN"/>
    <n v="0.39"/>
    <n v="0.84"/>
    <n v="9750.99"/>
    <n v="0"/>
    <n v="10429.761904761905"/>
    <n v="54"/>
    <n v="989.98999999999978"/>
  </r>
  <r>
    <s v="L0643"/>
    <x v="264"/>
    <s v="B0643"/>
    <x v="3"/>
    <x v="639"/>
    <n v="7.9"/>
    <n v="36"/>
    <x v="2"/>
    <x v="0"/>
    <x v="3"/>
    <x v="639"/>
    <s v="OWN"/>
    <n v="0.33"/>
    <n v="0.51"/>
    <n v="0"/>
    <n v="0"/>
    <n v="62972.549019607839"/>
    <n v="61"/>
    <n v="-32116"/>
  </r>
  <r>
    <s v="L0644"/>
    <x v="488"/>
    <s v="B0644"/>
    <x v="4"/>
    <x v="640"/>
    <n v="14.8"/>
    <n v="36"/>
    <x v="2"/>
    <x v="0"/>
    <x v="2"/>
    <x v="640"/>
    <s v="RENT"/>
    <n v="0.27"/>
    <n v="0.79"/>
    <n v="0"/>
    <n v="0"/>
    <n v="44010.126582278477"/>
    <n v="55"/>
    <n v="-34768"/>
  </r>
  <r>
    <s v="L0645"/>
    <x v="489"/>
    <s v="B0645"/>
    <x v="7"/>
    <x v="641"/>
    <n v="7.6"/>
    <n v="36"/>
    <x v="3"/>
    <x v="4"/>
    <x v="4"/>
    <x v="641"/>
    <s v="RENT"/>
    <n v="0.15"/>
    <n v="0.57999999999999996"/>
    <n v="5657.08"/>
    <n v="8575.9699999999993"/>
    <n v="45562.068965517246"/>
    <n v="54"/>
    <n v="-12192.95"/>
  </r>
  <r>
    <s v="L0646"/>
    <x v="490"/>
    <s v="B0646"/>
    <x v="7"/>
    <x v="642"/>
    <n v="21.7"/>
    <n v="60"/>
    <x v="1"/>
    <x v="0"/>
    <x v="3"/>
    <x v="642"/>
    <s v="RENT"/>
    <n v="0.26"/>
    <n v="0.6"/>
    <n v="7853.16"/>
    <n v="0"/>
    <n v="31286.666666666668"/>
    <n v="27"/>
    <n v="-10918.84"/>
  </r>
  <r>
    <s v="L0647"/>
    <x v="491"/>
    <s v="B0647"/>
    <x v="4"/>
    <x v="643"/>
    <n v="12.4"/>
    <n v="36"/>
    <x v="0"/>
    <x v="5"/>
    <x v="3"/>
    <x v="643"/>
    <s v="MORTGAGE"/>
    <n v="0.24"/>
    <n v="0.79"/>
    <n v="44081.03"/>
    <n v="0"/>
    <n v="49643.037974683539"/>
    <n v="51"/>
    <n v="4863.0299999999988"/>
  </r>
  <r>
    <s v="L0648"/>
    <x v="492"/>
    <s v="B0648"/>
    <x v="1"/>
    <x v="644"/>
    <n v="12.5"/>
    <n v="36"/>
    <x v="1"/>
    <x v="5"/>
    <x v="1"/>
    <x v="644"/>
    <s v="OWN"/>
    <n v="0.22"/>
    <n v="0.95"/>
    <n v="1012.2"/>
    <n v="0"/>
    <n v="4960"/>
    <n v="59"/>
    <n v="-3699.8"/>
  </r>
  <r>
    <s v="L0649"/>
    <x v="274"/>
    <s v="B0649"/>
    <x v="8"/>
    <x v="645"/>
    <n v="14.5"/>
    <n v="60"/>
    <x v="0"/>
    <x v="2"/>
    <x v="1"/>
    <x v="645"/>
    <s v="OWN"/>
    <n v="0.39"/>
    <n v="0.85"/>
    <n v="2710.22"/>
    <n v="0"/>
    <n v="2784.7058823529414"/>
    <n v="35"/>
    <n v="343.2199999999998"/>
  </r>
  <r>
    <s v="L0650"/>
    <x v="493"/>
    <s v="B0650"/>
    <x v="0"/>
    <x v="646"/>
    <n v="13.9"/>
    <n v="36"/>
    <x v="0"/>
    <x v="0"/>
    <x v="4"/>
    <x v="646"/>
    <s v="RENT"/>
    <n v="0.38"/>
    <n v="0.6"/>
    <n v="30980.799999999999"/>
    <n v="0"/>
    <n v="45333.333333333336"/>
    <n v="61"/>
    <n v="3780.7999999999993"/>
  </r>
  <r>
    <s v="L0651"/>
    <x v="494"/>
    <s v="B0651"/>
    <x v="6"/>
    <x v="647"/>
    <n v="24.9"/>
    <n v="36"/>
    <x v="1"/>
    <x v="4"/>
    <x v="1"/>
    <x v="647"/>
    <s v="OWN"/>
    <n v="0.34"/>
    <n v="0.57999999999999996"/>
    <n v="1515.61"/>
    <n v="0"/>
    <n v="8148.2758620689665"/>
    <n v="51"/>
    <n v="-3210.3900000000003"/>
  </r>
  <r>
    <s v="L0652"/>
    <x v="495"/>
    <s v="B0652"/>
    <x v="3"/>
    <x v="648"/>
    <n v="15.9"/>
    <n v="36"/>
    <x v="0"/>
    <x v="5"/>
    <x v="0"/>
    <x v="648"/>
    <s v="MORTGAGE"/>
    <n v="0.48"/>
    <n v="0.89"/>
    <n v="28529.94"/>
    <n v="0"/>
    <n v="27658.426966292136"/>
    <n v="28"/>
    <n v="3913.9399999999987"/>
  </r>
  <r>
    <s v="L0653"/>
    <x v="496"/>
    <s v="B0653"/>
    <x v="0"/>
    <x v="649"/>
    <n v="6.8"/>
    <n v="36"/>
    <x v="0"/>
    <x v="5"/>
    <x v="1"/>
    <x v="649"/>
    <s v="OWN"/>
    <n v="0.24"/>
    <n v="0.7"/>
    <n v="30676.16"/>
    <n v="0"/>
    <n v="41032.857142857145"/>
    <n v="36"/>
    <n v="1953.1599999999999"/>
  </r>
  <r>
    <s v="L0654"/>
    <x v="497"/>
    <s v="B0654"/>
    <x v="5"/>
    <x v="650"/>
    <n v="17.100000000000001"/>
    <n v="60"/>
    <x v="0"/>
    <x v="5"/>
    <x v="1"/>
    <x v="650"/>
    <s v="OWN"/>
    <n v="0.2"/>
    <n v="0.56000000000000005"/>
    <n v="45170.15"/>
    <n v="0"/>
    <n v="68882.142857142855"/>
    <n v="62"/>
    <n v="6596.1500000000015"/>
  </r>
  <r>
    <s v="L0655"/>
    <x v="498"/>
    <s v="B0655"/>
    <x v="5"/>
    <x v="651"/>
    <n v="8"/>
    <n v="36"/>
    <x v="0"/>
    <x v="6"/>
    <x v="0"/>
    <x v="651"/>
    <s v="MORTGAGE"/>
    <n v="0.36"/>
    <n v="0.89"/>
    <n v="38834.639999999999"/>
    <n v="0"/>
    <n v="40402.247191011236"/>
    <n v="42"/>
    <n v="2876.6399999999994"/>
  </r>
  <r>
    <s v="L0656"/>
    <x v="499"/>
    <s v="B0656"/>
    <x v="7"/>
    <x v="652"/>
    <n v="5.6"/>
    <n v="60"/>
    <x v="3"/>
    <x v="0"/>
    <x v="4"/>
    <x v="652"/>
    <s v="RENT"/>
    <n v="0.18"/>
    <n v="0.87"/>
    <n v="2849.4"/>
    <n v="2210.77"/>
    <n v="11618.3908045977"/>
    <n v="38"/>
    <n v="-5047.83"/>
  </r>
  <r>
    <s v="L0657"/>
    <x v="500"/>
    <s v="B0657"/>
    <x v="5"/>
    <x v="653"/>
    <n v="24.4"/>
    <n v="60"/>
    <x v="0"/>
    <x v="6"/>
    <x v="0"/>
    <x v="653"/>
    <s v="RENT"/>
    <n v="0.23"/>
    <n v="0.94"/>
    <n v="16393.43"/>
    <n v="0"/>
    <n v="14019.148936170213"/>
    <n v="52"/>
    <n v="3215.4300000000003"/>
  </r>
  <r>
    <s v="L0658"/>
    <x v="501"/>
    <s v="B0658"/>
    <x v="1"/>
    <x v="654"/>
    <n v="20.5"/>
    <n v="36"/>
    <x v="0"/>
    <x v="5"/>
    <x v="3"/>
    <x v="654"/>
    <s v="OWN"/>
    <n v="0.19"/>
    <n v="0.91"/>
    <n v="44154.82"/>
    <n v="0"/>
    <n v="40267.032967032967"/>
    <n v="41"/>
    <n v="7511.82"/>
  </r>
  <r>
    <s v="L0659"/>
    <x v="502"/>
    <s v="B0659"/>
    <x v="8"/>
    <x v="655"/>
    <n v="24.6"/>
    <n v="36"/>
    <x v="0"/>
    <x v="0"/>
    <x v="0"/>
    <x v="655"/>
    <s v="MORTGAGE"/>
    <n v="0.13"/>
    <n v="0.88"/>
    <n v="40275.699999999997"/>
    <n v="0"/>
    <n v="36731.818181818184"/>
    <n v="60"/>
    <n v="7951.6999999999971"/>
  </r>
  <r>
    <s v="L0660"/>
    <x v="96"/>
    <s v="B0660"/>
    <x v="5"/>
    <x v="656"/>
    <n v="14.6"/>
    <n v="36"/>
    <x v="0"/>
    <x v="2"/>
    <x v="2"/>
    <x v="656"/>
    <s v="RENT"/>
    <n v="0.43"/>
    <n v="0.52"/>
    <n v="45106.559999999998"/>
    <n v="0"/>
    <n v="75692.307692307688"/>
    <n v="38"/>
    <n v="5746.5599999999977"/>
  </r>
  <r>
    <s v="L0661"/>
    <x v="503"/>
    <s v="B0661"/>
    <x v="2"/>
    <x v="657"/>
    <n v="15.6"/>
    <n v="36"/>
    <x v="0"/>
    <x v="1"/>
    <x v="3"/>
    <x v="657"/>
    <s v="RENT"/>
    <n v="0.2"/>
    <n v="0.55000000000000004"/>
    <n v="21760.54"/>
    <n v="0"/>
    <n v="34225.454545454544"/>
    <n v="45"/>
    <n v="2936.5400000000009"/>
  </r>
  <r>
    <s v="L0662"/>
    <x v="297"/>
    <s v="B0662"/>
    <x v="8"/>
    <x v="658"/>
    <n v="8.4"/>
    <n v="60"/>
    <x v="1"/>
    <x v="0"/>
    <x v="1"/>
    <x v="658"/>
    <s v="RENT"/>
    <n v="0.28999999999999998"/>
    <n v="0.76"/>
    <n v="2126.9699999999998"/>
    <n v="0"/>
    <n v="13061.842105263158"/>
    <n v="47"/>
    <n v="-7800.0300000000007"/>
  </r>
  <r>
    <s v="L0663"/>
    <x v="504"/>
    <s v="B0663"/>
    <x v="1"/>
    <x v="659"/>
    <n v="9.9"/>
    <n v="60"/>
    <x v="0"/>
    <x v="0"/>
    <x v="3"/>
    <x v="659"/>
    <s v="OWN"/>
    <n v="0.12"/>
    <n v="0.74"/>
    <n v="32029.26"/>
    <n v="0"/>
    <n v="39383.783783783787"/>
    <n v="61"/>
    <n v="2885.2599999999984"/>
  </r>
  <r>
    <s v="L0664"/>
    <x v="505"/>
    <s v="B0664"/>
    <x v="0"/>
    <x v="660"/>
    <n v="21.8"/>
    <n v="60"/>
    <x v="1"/>
    <x v="0"/>
    <x v="4"/>
    <x v="660"/>
    <s v="MORTGAGE"/>
    <n v="0.38"/>
    <n v="0.71"/>
    <n v="14628.99"/>
    <n v="0"/>
    <n v="45084.507042253521"/>
    <n v="60"/>
    <n v="-17381.010000000002"/>
  </r>
  <r>
    <s v="L0665"/>
    <x v="506"/>
    <s v="B0665"/>
    <x v="8"/>
    <x v="661"/>
    <n v="12.1"/>
    <n v="36"/>
    <x v="4"/>
    <x v="5"/>
    <x v="4"/>
    <x v="661"/>
    <s v="OWN"/>
    <n v="0.23"/>
    <n v="0.68"/>
    <n v="0"/>
    <n v="0"/>
    <n v="34475"/>
    <n v="50"/>
    <n v="-23443"/>
  </r>
  <r>
    <s v="L0666"/>
    <x v="507"/>
    <s v="B0666"/>
    <x v="8"/>
    <x v="662"/>
    <n v="21.5"/>
    <n v="60"/>
    <x v="1"/>
    <x v="0"/>
    <x v="0"/>
    <x v="662"/>
    <s v="RENT"/>
    <n v="0.4"/>
    <n v="0.69"/>
    <n v="4267.6000000000004"/>
    <n v="0"/>
    <n v="22372.463768115944"/>
    <n v="40"/>
    <n v="-11169.4"/>
  </r>
  <r>
    <s v="L0667"/>
    <x v="503"/>
    <s v="B0667"/>
    <x v="0"/>
    <x v="663"/>
    <n v="19.2"/>
    <n v="36"/>
    <x v="0"/>
    <x v="0"/>
    <x v="3"/>
    <x v="663"/>
    <s v="MORTGAGE"/>
    <n v="0.26"/>
    <n v="0.76"/>
    <n v="14550.74"/>
    <n v="0"/>
    <n v="16061.842105263158"/>
    <n v="45"/>
    <n v="2343.7399999999998"/>
  </r>
  <r>
    <s v="L0668"/>
    <x v="134"/>
    <s v="B0668"/>
    <x v="1"/>
    <x v="664"/>
    <n v="8.5"/>
    <n v="36"/>
    <x v="0"/>
    <x v="0"/>
    <x v="1"/>
    <x v="664"/>
    <s v="OWN"/>
    <n v="0.18"/>
    <n v="0.5"/>
    <n v="28792.639999999999"/>
    <n v="0"/>
    <n v="53074"/>
    <n v="39"/>
    <n v="2255.6399999999994"/>
  </r>
  <r>
    <s v="L0669"/>
    <x v="418"/>
    <s v="B0669"/>
    <x v="5"/>
    <x v="665"/>
    <n v="15.1"/>
    <n v="36"/>
    <x v="3"/>
    <x v="1"/>
    <x v="4"/>
    <x v="665"/>
    <s v="RENT"/>
    <n v="0.31"/>
    <n v="0.62"/>
    <n v="8800.92"/>
    <n v="6346.33"/>
    <n v="59285.483870967742"/>
    <n v="33"/>
    <n v="-21609.75"/>
  </r>
  <r>
    <s v="L0670"/>
    <x v="508"/>
    <s v="B0670"/>
    <x v="7"/>
    <x v="666"/>
    <n v="18.5"/>
    <n v="36"/>
    <x v="0"/>
    <x v="6"/>
    <x v="1"/>
    <x v="666"/>
    <s v="RENT"/>
    <n v="0.15"/>
    <n v="0.73"/>
    <n v="15452.4"/>
    <n v="0"/>
    <n v="17863.013698630137"/>
    <n v="28"/>
    <n v="2412.3999999999996"/>
  </r>
  <r>
    <s v="L0671"/>
    <x v="509"/>
    <s v="B0671"/>
    <x v="3"/>
    <x v="667"/>
    <n v="9.6999999999999993"/>
    <n v="36"/>
    <x v="1"/>
    <x v="6"/>
    <x v="2"/>
    <x v="667"/>
    <s v="OWN"/>
    <n v="0.28000000000000003"/>
    <n v="0.82"/>
    <n v="11779.58"/>
    <n v="0"/>
    <n v="28795.121951219513"/>
    <n v="28"/>
    <n v="-11832.42"/>
  </r>
  <r>
    <s v="L0672"/>
    <x v="450"/>
    <s v="B0672"/>
    <x v="0"/>
    <x v="668"/>
    <n v="21.6"/>
    <n v="60"/>
    <x v="3"/>
    <x v="0"/>
    <x v="4"/>
    <x v="668"/>
    <s v="RENT"/>
    <n v="0.23"/>
    <n v="0.57999999999999996"/>
    <n v="7302.84"/>
    <n v="11730.22"/>
    <n v="50760.34482758621"/>
    <n v="32"/>
    <n v="-10407.940000000002"/>
  </r>
  <r>
    <s v="L0673"/>
    <x v="194"/>
    <s v="B0673"/>
    <x v="0"/>
    <x v="669"/>
    <n v="15.9"/>
    <n v="60"/>
    <x v="3"/>
    <x v="2"/>
    <x v="0"/>
    <x v="669"/>
    <s v="RENT"/>
    <n v="0.46"/>
    <n v="0.75"/>
    <n v="1146.94"/>
    <n v="2846.42"/>
    <n v="9961.3333333333339"/>
    <n v="37"/>
    <n v="-3477.64"/>
  </r>
  <r>
    <s v="L0674"/>
    <x v="510"/>
    <s v="B0674"/>
    <x v="0"/>
    <x v="670"/>
    <n v="8.3000000000000007"/>
    <n v="36"/>
    <x v="3"/>
    <x v="1"/>
    <x v="2"/>
    <x v="670"/>
    <s v="MORTGAGE"/>
    <n v="0.12"/>
    <n v="0.82"/>
    <n v="9301.3700000000008"/>
    <n v="10217.73"/>
    <n v="44671.951219512201"/>
    <n v="50"/>
    <n v="-17111.900000000001"/>
  </r>
  <r>
    <s v="L0675"/>
    <x v="10"/>
    <s v="B0675"/>
    <x v="0"/>
    <x v="671"/>
    <n v="16.7"/>
    <n v="60"/>
    <x v="1"/>
    <x v="2"/>
    <x v="3"/>
    <x v="671"/>
    <s v="RENT"/>
    <n v="0.38"/>
    <n v="0.7"/>
    <n v="11458.03"/>
    <n v="0"/>
    <n v="39318.571428571428"/>
    <n v="36"/>
    <n v="-16064.97"/>
  </r>
  <r>
    <s v="L0676"/>
    <x v="336"/>
    <s v="B0676"/>
    <x v="3"/>
    <x v="672"/>
    <n v="25"/>
    <n v="36"/>
    <x v="0"/>
    <x v="4"/>
    <x v="1"/>
    <x v="672"/>
    <s v="OWN"/>
    <n v="0.17"/>
    <n v="0.51"/>
    <n v="40435"/>
    <n v="0"/>
    <n v="63427.450980392154"/>
    <n v="38"/>
    <n v="8087"/>
  </r>
  <r>
    <s v="L0677"/>
    <x v="107"/>
    <s v="B0677"/>
    <x v="3"/>
    <x v="673"/>
    <n v="8"/>
    <n v="36"/>
    <x v="2"/>
    <x v="4"/>
    <x v="4"/>
    <x v="673"/>
    <s v="MORTGAGE"/>
    <n v="0.23"/>
    <n v="0.7"/>
    <n v="0"/>
    <n v="0"/>
    <n v="3110"/>
    <n v="28"/>
    <n v="-2177"/>
  </r>
  <r>
    <s v="L0678"/>
    <x v="114"/>
    <s v="B0678"/>
    <x v="5"/>
    <x v="674"/>
    <n v="21.3"/>
    <n v="36"/>
    <x v="0"/>
    <x v="6"/>
    <x v="2"/>
    <x v="674"/>
    <s v="OWN"/>
    <n v="0.27"/>
    <n v="0.63"/>
    <n v="6986.88"/>
    <n v="0"/>
    <n v="9142.8571428571431"/>
    <n v="46"/>
    <n v="1226.8800000000001"/>
  </r>
  <r>
    <s v="L0679"/>
    <x v="504"/>
    <s v="B0679"/>
    <x v="4"/>
    <x v="675"/>
    <n v="9.1"/>
    <n v="60"/>
    <x v="0"/>
    <x v="0"/>
    <x v="2"/>
    <x v="675"/>
    <s v="RENT"/>
    <n v="0.46"/>
    <n v="0.92"/>
    <n v="36852.89"/>
    <n v="0"/>
    <n v="36716.304347826088"/>
    <n v="61"/>
    <n v="3073.8899999999994"/>
  </r>
  <r>
    <s v="L0680"/>
    <x v="379"/>
    <s v="B0680"/>
    <x v="4"/>
    <x v="676"/>
    <n v="20.6"/>
    <n v="36"/>
    <x v="1"/>
    <x v="5"/>
    <x v="4"/>
    <x v="676"/>
    <s v="MORTGAGE"/>
    <n v="0.2"/>
    <n v="0.56000000000000005"/>
    <n v="9045.0499999999993"/>
    <n v="0"/>
    <n v="40421.428571428565"/>
    <n v="39"/>
    <n v="-13590.95"/>
  </r>
  <r>
    <s v="L0681"/>
    <x v="231"/>
    <s v="B0681"/>
    <x v="9"/>
    <x v="677"/>
    <n v="19.7"/>
    <n v="36"/>
    <x v="1"/>
    <x v="6"/>
    <x v="3"/>
    <x v="677"/>
    <s v="MORTGAGE"/>
    <n v="0.14000000000000001"/>
    <n v="0.79"/>
    <n v="7025.57"/>
    <n v="0"/>
    <n v="21965.822784810127"/>
    <n v="27"/>
    <n v="-10327.43"/>
  </r>
  <r>
    <s v="L0682"/>
    <x v="511"/>
    <s v="B0682"/>
    <x v="0"/>
    <x v="678"/>
    <n v="11"/>
    <n v="60"/>
    <x v="3"/>
    <x v="6"/>
    <x v="3"/>
    <x v="678"/>
    <s v="MORTGAGE"/>
    <n v="0.23"/>
    <n v="0.52"/>
    <n v="3922.58"/>
    <n v="3494.67"/>
    <n v="24146.153846153844"/>
    <n v="59"/>
    <n v="-5138.75"/>
  </r>
  <r>
    <s v="L0683"/>
    <x v="472"/>
    <s v="B0683"/>
    <x v="0"/>
    <x v="679"/>
    <n v="11.5"/>
    <n v="60"/>
    <x v="1"/>
    <x v="2"/>
    <x v="0"/>
    <x v="679"/>
    <s v="MORTGAGE"/>
    <n v="0.14000000000000001"/>
    <n v="0.7"/>
    <n v="4701.45"/>
    <n v="0"/>
    <n v="40854.285714285717"/>
    <n v="58"/>
    <n v="-23896.55"/>
  </r>
  <r>
    <s v="L0684"/>
    <x v="512"/>
    <s v="B0684"/>
    <x v="8"/>
    <x v="680"/>
    <n v="20.9"/>
    <n v="60"/>
    <x v="0"/>
    <x v="1"/>
    <x v="3"/>
    <x v="680"/>
    <s v="OWN"/>
    <n v="0.15"/>
    <n v="0.75"/>
    <n v="15188.67"/>
    <n v="0"/>
    <n v="16750.666666666668"/>
    <n v="35"/>
    <n v="2625.67"/>
  </r>
  <r>
    <s v="L0685"/>
    <x v="513"/>
    <s v="B0685"/>
    <x v="4"/>
    <x v="681"/>
    <n v="14.2"/>
    <n v="36"/>
    <x v="2"/>
    <x v="0"/>
    <x v="0"/>
    <x v="681"/>
    <s v="RENT"/>
    <n v="0.33"/>
    <n v="0.63"/>
    <n v="0"/>
    <n v="0"/>
    <n v="14657.142857142857"/>
    <n v="44"/>
    <n v="-9234"/>
  </r>
  <r>
    <s v="L0686"/>
    <x v="514"/>
    <s v="B0686"/>
    <x v="5"/>
    <x v="682"/>
    <n v="19.600000000000001"/>
    <n v="36"/>
    <x v="1"/>
    <x v="0"/>
    <x v="2"/>
    <x v="682"/>
    <s v="RENT"/>
    <n v="0.12"/>
    <n v="0.7"/>
    <n v="11613.67"/>
    <n v="0"/>
    <n v="37884.285714285717"/>
    <n v="57"/>
    <n v="-14905.33"/>
  </r>
  <r>
    <s v="L0687"/>
    <x v="515"/>
    <s v="B0687"/>
    <x v="7"/>
    <x v="683"/>
    <n v="8"/>
    <n v="60"/>
    <x v="1"/>
    <x v="5"/>
    <x v="4"/>
    <x v="683"/>
    <s v="MORTGAGE"/>
    <n v="0.11"/>
    <n v="0.56999999999999995"/>
    <n v="12642.02"/>
    <n v="0"/>
    <n v="49063.157894736847"/>
    <n v="61"/>
    <n v="-15323.98"/>
  </r>
  <r>
    <s v="L0688"/>
    <x v="516"/>
    <s v="B0688"/>
    <x v="9"/>
    <x v="684"/>
    <n v="22.1"/>
    <n v="36"/>
    <x v="0"/>
    <x v="5"/>
    <x v="3"/>
    <x v="684"/>
    <s v="RENT"/>
    <n v="0.39"/>
    <n v="0.64"/>
    <n v="20968.23"/>
    <n v="0"/>
    <n v="26832.8125"/>
    <n v="60"/>
    <n v="3795.2299999999996"/>
  </r>
  <r>
    <s v="L0689"/>
    <x v="485"/>
    <s v="B0689"/>
    <x v="9"/>
    <x v="685"/>
    <n v="19.2"/>
    <n v="60"/>
    <x v="0"/>
    <x v="0"/>
    <x v="0"/>
    <x v="685"/>
    <s v="OWN"/>
    <n v="0.24"/>
    <n v="0.78"/>
    <n v="33360.5"/>
    <n v="0"/>
    <n v="35880.769230769227"/>
    <n v="54"/>
    <n v="5373.5"/>
  </r>
  <r>
    <s v="L0690"/>
    <x v="359"/>
    <s v="B0690"/>
    <x v="5"/>
    <x v="686"/>
    <n v="23.1"/>
    <n v="60"/>
    <x v="1"/>
    <x v="0"/>
    <x v="2"/>
    <x v="686"/>
    <s v="RENT"/>
    <n v="0.15"/>
    <n v="0.64"/>
    <n v="1947.61"/>
    <n v="0"/>
    <n v="22153.125"/>
    <n v="59"/>
    <n v="-12230.39"/>
  </r>
  <r>
    <s v="L0691"/>
    <x v="474"/>
    <s v="B0691"/>
    <x v="7"/>
    <x v="687"/>
    <n v="7.6"/>
    <n v="36"/>
    <x v="0"/>
    <x v="5"/>
    <x v="3"/>
    <x v="687"/>
    <s v="OWN"/>
    <n v="0.2"/>
    <n v="0.9"/>
    <n v="27541.3"/>
    <n v="0"/>
    <n v="28440"/>
    <n v="58"/>
    <n v="1945.2999999999993"/>
  </r>
  <r>
    <s v="L0692"/>
    <x v="517"/>
    <s v="B0692"/>
    <x v="8"/>
    <x v="688"/>
    <n v="16.899999999999999"/>
    <n v="36"/>
    <x v="0"/>
    <x v="1"/>
    <x v="1"/>
    <x v="688"/>
    <s v="OWN"/>
    <n v="0.36"/>
    <n v="0.78"/>
    <n v="39949.410000000003"/>
    <n v="0"/>
    <n v="43812.820512820508"/>
    <n v="55"/>
    <n v="5775.4100000000035"/>
  </r>
  <r>
    <s v="L0693"/>
    <x v="474"/>
    <s v="B0693"/>
    <x v="3"/>
    <x v="689"/>
    <n v="17"/>
    <n v="60"/>
    <x v="1"/>
    <x v="3"/>
    <x v="2"/>
    <x v="689"/>
    <s v="RENT"/>
    <n v="0.21"/>
    <n v="0.7"/>
    <n v="590.38"/>
    <n v="0"/>
    <n v="7758.5714285714294"/>
    <n v="58"/>
    <n v="-4840.62"/>
  </r>
  <r>
    <s v="L0694"/>
    <x v="440"/>
    <s v="B0694"/>
    <x v="6"/>
    <x v="690"/>
    <n v="12.1"/>
    <n v="60"/>
    <x v="0"/>
    <x v="1"/>
    <x v="3"/>
    <x v="690"/>
    <s v="OWN"/>
    <n v="0.3"/>
    <n v="0.52"/>
    <n v="32244.44"/>
    <n v="0"/>
    <n v="55315.384615384617"/>
    <n v="61"/>
    <n v="3480.4399999999987"/>
  </r>
  <r>
    <s v="L0695"/>
    <x v="518"/>
    <s v="B0695"/>
    <x v="4"/>
    <x v="691"/>
    <n v="14.2"/>
    <n v="60"/>
    <x v="0"/>
    <x v="6"/>
    <x v="2"/>
    <x v="691"/>
    <s v="OWN"/>
    <n v="0.15"/>
    <n v="0.72"/>
    <n v="25840.03"/>
    <n v="0"/>
    <n v="31426.388888888891"/>
    <n v="42"/>
    <n v="3213.0299999999988"/>
  </r>
  <r>
    <s v="L0696"/>
    <x v="17"/>
    <s v="B0696"/>
    <x v="0"/>
    <x v="692"/>
    <n v="5.8"/>
    <n v="60"/>
    <x v="0"/>
    <x v="5"/>
    <x v="4"/>
    <x v="692"/>
    <s v="OWN"/>
    <n v="0.34"/>
    <n v="0.84"/>
    <n v="10480.549999999999"/>
    <n v="0"/>
    <n v="11792.857142857143"/>
    <n v="38"/>
    <n v="574.54999999999927"/>
  </r>
  <r>
    <s v="L0697"/>
    <x v="519"/>
    <s v="B0697"/>
    <x v="5"/>
    <x v="693"/>
    <n v="19.899999999999999"/>
    <n v="36"/>
    <x v="0"/>
    <x v="3"/>
    <x v="4"/>
    <x v="693"/>
    <s v="OWN"/>
    <n v="0.23"/>
    <n v="0.62"/>
    <n v="45458.89"/>
    <n v="0"/>
    <n v="61151.61290322581"/>
    <n v="43"/>
    <n v="7544.8899999999994"/>
  </r>
  <r>
    <s v="L0698"/>
    <x v="520"/>
    <s v="B0698"/>
    <x v="4"/>
    <x v="694"/>
    <n v="16"/>
    <n v="60"/>
    <x v="1"/>
    <x v="1"/>
    <x v="4"/>
    <x v="694"/>
    <s v="MORTGAGE"/>
    <n v="0.35"/>
    <n v="0.86"/>
    <n v="6883.48"/>
    <n v="0"/>
    <n v="16367.441860465116"/>
    <n v="48"/>
    <n v="-7192.52"/>
  </r>
  <r>
    <s v="L0699"/>
    <x v="98"/>
    <s v="B0699"/>
    <x v="0"/>
    <x v="695"/>
    <n v="6.2"/>
    <n v="60"/>
    <x v="0"/>
    <x v="6"/>
    <x v="1"/>
    <x v="695"/>
    <s v="RENT"/>
    <n v="0.42"/>
    <n v="0.61"/>
    <n v="41046.300000000003"/>
    <n v="0"/>
    <n v="63360.655737704918"/>
    <n v="42"/>
    <n v="2396.3000000000029"/>
  </r>
  <r>
    <s v="L0700"/>
    <x v="521"/>
    <s v="B0700"/>
    <x v="6"/>
    <x v="696"/>
    <n v="18.600000000000001"/>
    <n v="60"/>
    <x v="0"/>
    <x v="2"/>
    <x v="4"/>
    <x v="696"/>
    <s v="MORTGAGE"/>
    <n v="0.34"/>
    <n v="0.87"/>
    <n v="8316.23"/>
    <n v="0"/>
    <n v="8059.7701149425284"/>
    <n v="39"/>
    <n v="1304.2299999999996"/>
  </r>
  <r>
    <s v="L0701"/>
    <x v="522"/>
    <s v="B0701"/>
    <x v="6"/>
    <x v="697"/>
    <n v="14.3"/>
    <n v="36"/>
    <x v="1"/>
    <x v="2"/>
    <x v="1"/>
    <x v="697"/>
    <s v="OWN"/>
    <n v="0.22"/>
    <n v="0.54"/>
    <n v="3592.52"/>
    <n v="0"/>
    <n v="15094.444444444443"/>
    <n v="52"/>
    <n v="-4558.4799999999996"/>
  </r>
  <r>
    <s v="L0702"/>
    <x v="262"/>
    <s v="B0702"/>
    <x v="3"/>
    <x v="698"/>
    <n v="5.7"/>
    <n v="36"/>
    <x v="2"/>
    <x v="4"/>
    <x v="4"/>
    <x v="698"/>
    <s v="RENT"/>
    <n v="0.2"/>
    <n v="0.89"/>
    <n v="0"/>
    <n v="0"/>
    <n v="32821.348314606745"/>
    <n v="33"/>
    <n v="-29211"/>
  </r>
  <r>
    <s v="L0703"/>
    <x v="523"/>
    <s v="B0703"/>
    <x v="1"/>
    <x v="699"/>
    <n v="24.4"/>
    <n v="60"/>
    <x v="1"/>
    <x v="0"/>
    <x v="2"/>
    <x v="319"/>
    <s v="OWN"/>
    <n v="0.23"/>
    <n v="0.72"/>
    <n v="12707.65"/>
    <n v="0"/>
    <n v="39051.388888888891"/>
    <n v="40"/>
    <n v="-15409.35"/>
  </r>
  <r>
    <s v="L0704"/>
    <x v="13"/>
    <s v="B0704"/>
    <x v="6"/>
    <x v="700"/>
    <n v="24"/>
    <n v="36"/>
    <x v="0"/>
    <x v="0"/>
    <x v="3"/>
    <x v="699"/>
    <s v="RENT"/>
    <n v="0.17"/>
    <n v="0.63"/>
    <n v="46348.72"/>
    <n v="0"/>
    <n v="59330.158730158728"/>
    <n v="53"/>
    <n v="8970.7200000000012"/>
  </r>
  <r>
    <s v="L0705"/>
    <x v="168"/>
    <s v="B0705"/>
    <x v="4"/>
    <x v="701"/>
    <n v="15.3"/>
    <n v="36"/>
    <x v="0"/>
    <x v="0"/>
    <x v="3"/>
    <x v="700"/>
    <s v="MORTGAGE"/>
    <n v="0.17"/>
    <n v="0.62"/>
    <n v="9101.7800000000007"/>
    <n v="0"/>
    <n v="12732.258064516129"/>
    <n v="42"/>
    <n v="1207.7800000000007"/>
  </r>
  <r>
    <s v="L0706"/>
    <x v="306"/>
    <s v="B0706"/>
    <x v="2"/>
    <x v="702"/>
    <n v="6.9"/>
    <n v="36"/>
    <x v="3"/>
    <x v="0"/>
    <x v="4"/>
    <x v="701"/>
    <s v="RENT"/>
    <n v="0.42"/>
    <n v="0.69"/>
    <n v="5293.66"/>
    <n v="1335.02"/>
    <n v="20966.666666666668"/>
    <n v="45"/>
    <n v="-7838.32"/>
  </r>
  <r>
    <s v="L0707"/>
    <x v="524"/>
    <s v="B0707"/>
    <x v="2"/>
    <x v="660"/>
    <n v="20.100000000000001"/>
    <n v="60"/>
    <x v="0"/>
    <x v="0"/>
    <x v="3"/>
    <x v="702"/>
    <s v="OWN"/>
    <n v="0.25"/>
    <n v="0.95"/>
    <n v="38444.01"/>
    <n v="0"/>
    <n v="33694.736842105267"/>
    <n v="34"/>
    <n v="6434.010000000002"/>
  </r>
  <r>
    <s v="L0708"/>
    <x v="491"/>
    <s v="B0708"/>
    <x v="0"/>
    <x v="703"/>
    <n v="14.8"/>
    <n v="60"/>
    <x v="1"/>
    <x v="4"/>
    <x v="4"/>
    <x v="703"/>
    <s v="RENT"/>
    <n v="0.27"/>
    <n v="0.6"/>
    <n v="3903.76"/>
    <n v="0"/>
    <n v="22148.333333333336"/>
    <n v="51"/>
    <n v="-9385.24"/>
  </r>
  <r>
    <s v="L0709"/>
    <x v="266"/>
    <s v="B0709"/>
    <x v="0"/>
    <x v="704"/>
    <n v="11"/>
    <n v="36"/>
    <x v="0"/>
    <x v="5"/>
    <x v="4"/>
    <x v="704"/>
    <s v="RENT"/>
    <n v="0.34"/>
    <n v="0.55000000000000004"/>
    <n v="26829.81"/>
    <n v="0"/>
    <n v="43947.272727272721"/>
    <n v="35"/>
    <n v="2658.8100000000013"/>
  </r>
  <r>
    <s v="L0710"/>
    <x v="232"/>
    <s v="B0710"/>
    <x v="1"/>
    <x v="705"/>
    <n v="14.8"/>
    <n v="60"/>
    <x v="0"/>
    <x v="1"/>
    <x v="0"/>
    <x v="705"/>
    <s v="MORTGAGE"/>
    <n v="0.34"/>
    <n v="0.76"/>
    <n v="41218.94"/>
    <n v="0"/>
    <n v="47243.42105263158"/>
    <n v="37"/>
    <n v="5313.9400000000023"/>
  </r>
  <r>
    <s v="L0711"/>
    <x v="525"/>
    <s v="B0711"/>
    <x v="2"/>
    <x v="706"/>
    <n v="15.4"/>
    <n v="60"/>
    <x v="1"/>
    <x v="0"/>
    <x v="0"/>
    <x v="706"/>
    <s v="OWN"/>
    <n v="0.13"/>
    <n v="0.72"/>
    <n v="7441.09"/>
    <n v="0"/>
    <n v="30318.055555555558"/>
    <n v="33"/>
    <n v="-14387.91"/>
  </r>
  <r>
    <s v="L0712"/>
    <x v="526"/>
    <s v="B0712"/>
    <x v="0"/>
    <x v="707"/>
    <n v="16.3"/>
    <n v="36"/>
    <x v="1"/>
    <x v="1"/>
    <x v="0"/>
    <x v="707"/>
    <s v="RENT"/>
    <n v="0.43"/>
    <n v="0.74"/>
    <n v="10355.42"/>
    <n v="0"/>
    <n v="47370.270270270274"/>
    <n v="54"/>
    <n v="-24698.58"/>
  </r>
  <r>
    <s v="L0713"/>
    <x v="527"/>
    <s v="B0713"/>
    <x v="6"/>
    <x v="708"/>
    <n v="13.8"/>
    <n v="36"/>
    <x v="1"/>
    <x v="1"/>
    <x v="1"/>
    <x v="708"/>
    <s v="MORTGAGE"/>
    <n v="0.17"/>
    <n v="0.8"/>
    <n v="2244.9"/>
    <n v="0"/>
    <n v="38417.5"/>
    <n v="44"/>
    <n v="-28489.1"/>
  </r>
  <r>
    <s v="L0714"/>
    <x v="528"/>
    <s v="B0714"/>
    <x v="0"/>
    <x v="709"/>
    <n v="17.100000000000001"/>
    <n v="60"/>
    <x v="0"/>
    <x v="5"/>
    <x v="0"/>
    <x v="709"/>
    <s v="RENT"/>
    <n v="0.39"/>
    <n v="0.62"/>
    <n v="9428.89"/>
    <n v="0"/>
    <n v="12987.096774193549"/>
    <n v="27"/>
    <n v="1376.8899999999994"/>
  </r>
  <r>
    <s v="L0715"/>
    <x v="529"/>
    <s v="B0715"/>
    <x v="9"/>
    <x v="710"/>
    <n v="23.4"/>
    <n v="36"/>
    <x v="0"/>
    <x v="2"/>
    <x v="4"/>
    <x v="710"/>
    <s v="OWN"/>
    <n v="0.41"/>
    <n v="0.91"/>
    <n v="5743.04"/>
    <n v="0"/>
    <n v="5114.2857142857138"/>
    <n v="55"/>
    <n v="1089.04"/>
  </r>
  <r>
    <s v="L0716"/>
    <x v="530"/>
    <s v="B0716"/>
    <x v="1"/>
    <x v="711"/>
    <n v="12.2"/>
    <n v="60"/>
    <x v="1"/>
    <x v="0"/>
    <x v="2"/>
    <x v="711"/>
    <s v="RENT"/>
    <n v="0.39"/>
    <n v="0.7"/>
    <n v="9438.77"/>
    <n v="0"/>
    <n v="34980"/>
    <n v="44"/>
    <n v="-15047.23"/>
  </r>
  <r>
    <s v="L0717"/>
    <x v="334"/>
    <s v="B0717"/>
    <x v="5"/>
    <x v="712"/>
    <n v="19.5"/>
    <n v="60"/>
    <x v="1"/>
    <x v="0"/>
    <x v="0"/>
    <x v="712"/>
    <s v="RENT"/>
    <n v="0.33"/>
    <n v="0.56000000000000005"/>
    <n v="5476.7"/>
    <n v="0"/>
    <n v="35255.357142857138"/>
    <n v="32"/>
    <n v="-14266.3"/>
  </r>
  <r>
    <s v="L0718"/>
    <x v="531"/>
    <s v="B0718"/>
    <x v="7"/>
    <x v="713"/>
    <n v="22.9"/>
    <n v="36"/>
    <x v="0"/>
    <x v="4"/>
    <x v="0"/>
    <x v="713"/>
    <s v="RENT"/>
    <n v="0.11"/>
    <n v="0.83"/>
    <n v="31325.98"/>
    <n v="0"/>
    <n v="30709.638554216868"/>
    <n v="62"/>
    <n v="5836.98"/>
  </r>
  <r>
    <s v="L0719"/>
    <x v="532"/>
    <s v="B0719"/>
    <x v="8"/>
    <x v="714"/>
    <n v="14.1"/>
    <n v="60"/>
    <x v="0"/>
    <x v="0"/>
    <x v="2"/>
    <x v="714"/>
    <s v="RENT"/>
    <n v="0.24"/>
    <n v="0.79"/>
    <n v="10994.68"/>
    <n v="0"/>
    <n v="12197.468354430379"/>
    <n v="47"/>
    <n v="1358.6800000000003"/>
  </r>
  <r>
    <s v="L0720"/>
    <x v="451"/>
    <s v="B0720"/>
    <x v="7"/>
    <x v="715"/>
    <n v="13.9"/>
    <n v="60"/>
    <x v="0"/>
    <x v="5"/>
    <x v="4"/>
    <x v="715"/>
    <s v="OWN"/>
    <n v="0.34"/>
    <n v="0.64"/>
    <n v="8475.2999999999993"/>
    <n v="0"/>
    <n v="11626.5625"/>
    <n v="60"/>
    <n v="1034.2999999999993"/>
  </r>
  <r>
    <s v="L0721"/>
    <x v="533"/>
    <s v="B0721"/>
    <x v="7"/>
    <x v="716"/>
    <n v="17"/>
    <n v="36"/>
    <x v="4"/>
    <x v="4"/>
    <x v="1"/>
    <x v="716"/>
    <s v="MORTGAGE"/>
    <n v="0.25"/>
    <n v="0.78"/>
    <n v="0"/>
    <n v="0"/>
    <n v="32834.615384615383"/>
    <n v="62"/>
    <n v="-25611"/>
  </r>
  <r>
    <s v="L0722"/>
    <x v="123"/>
    <s v="B0722"/>
    <x v="3"/>
    <x v="717"/>
    <n v="16.8"/>
    <n v="36"/>
    <x v="1"/>
    <x v="4"/>
    <x v="0"/>
    <x v="717"/>
    <s v="MORTGAGE"/>
    <n v="0.45"/>
    <n v="0.6"/>
    <n v="4489.9799999999996"/>
    <n v="0"/>
    <n v="21915"/>
    <n v="41"/>
    <n v="-8659.02"/>
  </r>
  <r>
    <s v="L0723"/>
    <x v="444"/>
    <s v="B0723"/>
    <x v="5"/>
    <x v="718"/>
    <n v="21.1"/>
    <n v="36"/>
    <x v="3"/>
    <x v="0"/>
    <x v="2"/>
    <x v="718"/>
    <s v="RENT"/>
    <n v="0.22"/>
    <n v="0.7"/>
    <n v="8919.67"/>
    <n v="8978.74"/>
    <n v="50808.571428571435"/>
    <n v="58"/>
    <n v="-17667.59"/>
  </r>
  <r>
    <s v="L0724"/>
    <x v="169"/>
    <s v="B0724"/>
    <x v="0"/>
    <x v="719"/>
    <n v="14.5"/>
    <n v="60"/>
    <x v="0"/>
    <x v="4"/>
    <x v="4"/>
    <x v="719"/>
    <s v="OWN"/>
    <n v="0.22"/>
    <n v="0.9"/>
    <n v="25962.880000000001"/>
    <n v="0"/>
    <n v="25194.444444444445"/>
    <n v="33"/>
    <n v="3287.880000000001"/>
  </r>
  <r>
    <s v="L0725"/>
    <x v="534"/>
    <s v="B0725"/>
    <x v="3"/>
    <x v="720"/>
    <n v="24.9"/>
    <n v="36"/>
    <x v="2"/>
    <x v="5"/>
    <x v="3"/>
    <x v="720"/>
    <s v="OWN"/>
    <n v="0.21"/>
    <n v="0.56000000000000005"/>
    <n v="0"/>
    <n v="0"/>
    <n v="11598.214285714284"/>
    <n v="46"/>
    <n v="-6495"/>
  </r>
  <r>
    <s v="L0726"/>
    <x v="535"/>
    <s v="B0726"/>
    <x v="7"/>
    <x v="721"/>
    <n v="6.2"/>
    <n v="36"/>
    <x v="0"/>
    <x v="5"/>
    <x v="1"/>
    <x v="721"/>
    <s v="OWN"/>
    <n v="0.23"/>
    <n v="0.67"/>
    <n v="15582.73"/>
    <n v="0"/>
    <n v="21900"/>
    <n v="31"/>
    <n v="909.72999999999956"/>
  </r>
  <r>
    <s v="L0727"/>
    <x v="536"/>
    <s v="B0727"/>
    <x v="9"/>
    <x v="722"/>
    <n v="5.0999999999999996"/>
    <n v="36"/>
    <x v="0"/>
    <x v="0"/>
    <x v="2"/>
    <x v="722"/>
    <s v="OWN"/>
    <n v="0.32"/>
    <n v="0.87"/>
    <n v="12748.63"/>
    <n v="0"/>
    <n v="13942.528735632184"/>
    <n v="43"/>
    <n v="618.6299999999992"/>
  </r>
  <r>
    <s v="L0728"/>
    <x v="537"/>
    <s v="B0728"/>
    <x v="8"/>
    <x v="723"/>
    <n v="17.8"/>
    <n v="36"/>
    <x v="1"/>
    <x v="0"/>
    <x v="2"/>
    <x v="723"/>
    <s v="OWN"/>
    <n v="0.38"/>
    <n v="0.94"/>
    <n v="6421.49"/>
    <n v="0"/>
    <n v="25178.723404255321"/>
    <n v="56"/>
    <n v="-17246.510000000002"/>
  </r>
  <r>
    <s v="L0729"/>
    <x v="538"/>
    <s v="B0729"/>
    <x v="7"/>
    <x v="724"/>
    <n v="11"/>
    <n v="60"/>
    <x v="0"/>
    <x v="0"/>
    <x v="2"/>
    <x v="724"/>
    <s v="OWN"/>
    <n v="0.37"/>
    <n v="0.7"/>
    <n v="18006.419999999998"/>
    <n v="0"/>
    <n v="23174.285714285717"/>
    <n v="34"/>
    <n v="1784.4199999999983"/>
  </r>
  <r>
    <s v="L0730"/>
    <x v="539"/>
    <s v="B0730"/>
    <x v="2"/>
    <x v="725"/>
    <n v="9.8000000000000007"/>
    <n v="60"/>
    <x v="0"/>
    <x v="0"/>
    <x v="0"/>
    <x v="725"/>
    <s v="RENT"/>
    <n v="0.42"/>
    <n v="0.73"/>
    <n v="27086.560000000001"/>
    <n v="0"/>
    <n v="33793.150684931505"/>
    <n v="39"/>
    <n v="2417.5600000000013"/>
  </r>
  <r>
    <s v="L0731"/>
    <x v="495"/>
    <s v="B0731"/>
    <x v="5"/>
    <x v="726"/>
    <n v="11.2"/>
    <n v="36"/>
    <x v="0"/>
    <x v="6"/>
    <x v="3"/>
    <x v="726"/>
    <s v="MORTGAGE"/>
    <n v="0.45"/>
    <n v="0.76"/>
    <n v="38995.620000000003"/>
    <n v="0"/>
    <n v="46142.105263157893"/>
    <n v="28"/>
    <n v="3927.6200000000026"/>
  </r>
  <r>
    <s v="L0732"/>
    <x v="381"/>
    <s v="B0732"/>
    <x v="5"/>
    <x v="727"/>
    <n v="10.1"/>
    <n v="60"/>
    <x v="0"/>
    <x v="0"/>
    <x v="1"/>
    <x v="727"/>
    <s v="MORTGAGE"/>
    <n v="0.43"/>
    <n v="0.92"/>
    <n v="26702.55"/>
    <n v="0"/>
    <n v="26361.956521739128"/>
    <n v="56"/>
    <n v="2449.5499999999993"/>
  </r>
  <r>
    <s v="L0733"/>
    <x v="540"/>
    <s v="B0733"/>
    <x v="5"/>
    <x v="728"/>
    <n v="5.6"/>
    <n v="36"/>
    <x v="1"/>
    <x v="1"/>
    <x v="4"/>
    <x v="728"/>
    <s v="RENT"/>
    <n v="0.11"/>
    <n v="0.89"/>
    <n v="1328.43"/>
    <n v="0"/>
    <n v="11724.719101123595"/>
    <n v="51"/>
    <n v="-9106.57"/>
  </r>
  <r>
    <s v="L0734"/>
    <x v="142"/>
    <s v="B0734"/>
    <x v="1"/>
    <x v="729"/>
    <n v="24.4"/>
    <n v="36"/>
    <x v="1"/>
    <x v="6"/>
    <x v="4"/>
    <x v="729"/>
    <s v="MORTGAGE"/>
    <n v="0.39"/>
    <n v="0.57999999999999996"/>
    <n v="5184.05"/>
    <n v="0"/>
    <n v="50951.724137931036"/>
    <n v="35"/>
    <n v="-24367.95"/>
  </r>
  <r>
    <s v="L0735"/>
    <x v="541"/>
    <s v="B0735"/>
    <x v="1"/>
    <x v="730"/>
    <n v="9.4"/>
    <n v="60"/>
    <x v="1"/>
    <x v="0"/>
    <x v="3"/>
    <x v="730"/>
    <s v="OWN"/>
    <n v="0.18"/>
    <n v="0.7"/>
    <n v="4663.03"/>
    <n v="0"/>
    <n v="54834.285714285717"/>
    <n v="38"/>
    <n v="-33720.97"/>
  </r>
  <r>
    <s v="L0736"/>
    <x v="542"/>
    <s v="B0736"/>
    <x v="6"/>
    <x v="731"/>
    <n v="19.7"/>
    <n v="60"/>
    <x v="1"/>
    <x v="4"/>
    <x v="2"/>
    <x v="731"/>
    <s v="OWN"/>
    <n v="0.15"/>
    <n v="0.71"/>
    <n v="2401.1"/>
    <n v="0"/>
    <n v="24497.183098591551"/>
    <n v="55"/>
    <n v="-14991.9"/>
  </r>
  <r>
    <s v="L0737"/>
    <x v="543"/>
    <s v="B0737"/>
    <x v="4"/>
    <x v="732"/>
    <n v="20.3"/>
    <n v="36"/>
    <x v="1"/>
    <x v="3"/>
    <x v="2"/>
    <x v="732"/>
    <s v="MORTGAGE"/>
    <n v="0.36"/>
    <n v="0.86"/>
    <n v="5667.24"/>
    <n v="0"/>
    <n v="13508.139534883721"/>
    <n v="45"/>
    <n v="-5949.76"/>
  </r>
  <r>
    <s v="L0738"/>
    <x v="135"/>
    <s v="B0738"/>
    <x v="8"/>
    <x v="733"/>
    <n v="23.6"/>
    <n v="36"/>
    <x v="0"/>
    <x v="6"/>
    <x v="2"/>
    <x v="733"/>
    <s v="OWN"/>
    <n v="0.23"/>
    <n v="0.77"/>
    <n v="48846.720000000001"/>
    <n v="0"/>
    <n v="51324.675324675321"/>
    <n v="58"/>
    <n v="9326.7200000000012"/>
  </r>
  <r>
    <s v="L0739"/>
    <x v="544"/>
    <s v="B0739"/>
    <x v="3"/>
    <x v="734"/>
    <n v="5.6"/>
    <n v="60"/>
    <x v="0"/>
    <x v="5"/>
    <x v="2"/>
    <x v="734"/>
    <s v="OWN"/>
    <n v="0.12"/>
    <n v="0.79"/>
    <n v="11459.71"/>
    <n v="0"/>
    <n v="13736.708860759492"/>
    <n v="57"/>
    <n v="607.70999999999913"/>
  </r>
  <r>
    <s v="L0740"/>
    <x v="545"/>
    <s v="B0740"/>
    <x v="0"/>
    <x v="735"/>
    <n v="22.4"/>
    <n v="36"/>
    <x v="2"/>
    <x v="1"/>
    <x v="2"/>
    <x v="735"/>
    <s v="MORTGAGE"/>
    <n v="0.16"/>
    <n v="0.95"/>
    <n v="0"/>
    <n v="0"/>
    <n v="34106.315789473687"/>
    <n v="44"/>
    <n v="-32401"/>
  </r>
  <r>
    <s v="L0741"/>
    <x v="437"/>
    <s v="B0741"/>
    <x v="7"/>
    <x v="736"/>
    <n v="15.5"/>
    <n v="60"/>
    <x v="0"/>
    <x v="6"/>
    <x v="3"/>
    <x v="736"/>
    <s v="RENT"/>
    <n v="0.1"/>
    <n v="0.53"/>
    <n v="8425.7199999999993"/>
    <n v="0"/>
    <n v="13764.150943396226"/>
    <n v="62"/>
    <n v="1130.7199999999993"/>
  </r>
  <r>
    <s v="L0742"/>
    <x v="322"/>
    <s v="B0742"/>
    <x v="4"/>
    <x v="737"/>
    <n v="17.7"/>
    <n v="36"/>
    <x v="1"/>
    <x v="4"/>
    <x v="0"/>
    <x v="737"/>
    <s v="MORTGAGE"/>
    <n v="0.46"/>
    <n v="0.6"/>
    <n v="4398.51"/>
    <n v="0"/>
    <n v="61655"/>
    <n v="59"/>
    <n v="-32594.489999999998"/>
  </r>
  <r>
    <s v="L0743"/>
    <x v="244"/>
    <s v="B0743"/>
    <x v="0"/>
    <x v="738"/>
    <n v="17.899999999999999"/>
    <n v="36"/>
    <x v="0"/>
    <x v="2"/>
    <x v="1"/>
    <x v="738"/>
    <s v="MORTGAGE"/>
    <n v="0.11"/>
    <n v="0.68"/>
    <n v="41364.04"/>
    <n v="0"/>
    <n v="51594.117647058818"/>
    <n v="41"/>
    <n v="6280.0400000000009"/>
  </r>
  <r>
    <s v="L0744"/>
    <x v="546"/>
    <s v="B0744"/>
    <x v="3"/>
    <x v="739"/>
    <n v="21.4"/>
    <n v="60"/>
    <x v="1"/>
    <x v="5"/>
    <x v="2"/>
    <x v="739"/>
    <s v="MORTGAGE"/>
    <n v="0.18"/>
    <n v="0.66"/>
    <n v="6410.55"/>
    <n v="0"/>
    <n v="56743.939393939392"/>
    <n v="52"/>
    <n v="-31040.45"/>
  </r>
  <r>
    <s v="L0745"/>
    <x v="547"/>
    <s v="B0745"/>
    <x v="4"/>
    <x v="740"/>
    <n v="11.7"/>
    <n v="60"/>
    <x v="1"/>
    <x v="5"/>
    <x v="0"/>
    <x v="740"/>
    <s v="MORTGAGE"/>
    <n v="0.27"/>
    <n v="0.51"/>
    <n v="2597.8000000000002"/>
    <n v="0"/>
    <n v="16131.372549019608"/>
    <n v="58"/>
    <n v="-5629.2"/>
  </r>
  <r>
    <s v="L0746"/>
    <x v="548"/>
    <s v="B0746"/>
    <x v="0"/>
    <x v="741"/>
    <n v="19.7"/>
    <n v="60"/>
    <x v="0"/>
    <x v="3"/>
    <x v="4"/>
    <x v="741"/>
    <s v="RENT"/>
    <n v="0.24"/>
    <n v="0.54"/>
    <n v="39393.269999999997"/>
    <n v="0"/>
    <n v="60944.444444444438"/>
    <n v="34"/>
    <n v="6483.2699999999968"/>
  </r>
  <r>
    <s v="L0747"/>
    <x v="549"/>
    <s v="B0747"/>
    <x v="9"/>
    <x v="742"/>
    <n v="15.6"/>
    <n v="60"/>
    <x v="0"/>
    <x v="6"/>
    <x v="3"/>
    <x v="742"/>
    <s v="RENT"/>
    <n v="0.46"/>
    <n v="0.81"/>
    <n v="42819.4"/>
    <n v="0"/>
    <n v="45729.629629629628"/>
    <n v="54"/>
    <n v="5778.4000000000015"/>
  </r>
  <r>
    <s v="L0748"/>
    <x v="550"/>
    <s v="B0748"/>
    <x v="1"/>
    <x v="743"/>
    <n v="20.9"/>
    <n v="60"/>
    <x v="1"/>
    <x v="4"/>
    <x v="0"/>
    <x v="743"/>
    <s v="OWN"/>
    <n v="0.12"/>
    <n v="0.9"/>
    <n v="7914.57"/>
    <n v="0"/>
    <n v="27093.333333333332"/>
    <n v="32"/>
    <n v="-16469.43"/>
  </r>
  <r>
    <s v="L0749"/>
    <x v="313"/>
    <s v="B0749"/>
    <x v="3"/>
    <x v="744"/>
    <n v="24.8"/>
    <n v="60"/>
    <x v="0"/>
    <x v="0"/>
    <x v="2"/>
    <x v="744"/>
    <s v="OWN"/>
    <n v="0.3"/>
    <n v="0.73"/>
    <n v="1428.96"/>
    <n v="0"/>
    <n v="1568.4931506849316"/>
    <n v="39"/>
    <n v="283.96000000000004"/>
  </r>
  <r>
    <s v="L0750"/>
    <x v="422"/>
    <s v="B0750"/>
    <x v="8"/>
    <x v="745"/>
    <n v="9"/>
    <n v="60"/>
    <x v="0"/>
    <x v="5"/>
    <x v="2"/>
    <x v="745"/>
    <s v="MORTGAGE"/>
    <n v="0.37"/>
    <n v="0.74"/>
    <n v="42268.02"/>
    <n v="0"/>
    <n v="52402.7027027027"/>
    <n v="62"/>
    <n v="3490.0199999999968"/>
  </r>
  <r>
    <s v="L0751"/>
    <x v="551"/>
    <s v="B0751"/>
    <x v="2"/>
    <x v="746"/>
    <n v="24.9"/>
    <n v="36"/>
    <x v="1"/>
    <x v="1"/>
    <x v="2"/>
    <x v="746"/>
    <s v="OWN"/>
    <n v="0.47"/>
    <n v="0.61"/>
    <n v="2032.08"/>
    <n v="0"/>
    <n v="27926.22950819672"/>
    <n v="54"/>
    <n v="-15002.92"/>
  </r>
  <r>
    <s v="L0752"/>
    <x v="552"/>
    <s v="B0752"/>
    <x v="9"/>
    <x v="747"/>
    <n v="6.8"/>
    <n v="36"/>
    <x v="0"/>
    <x v="1"/>
    <x v="0"/>
    <x v="747"/>
    <s v="RENT"/>
    <n v="0.35"/>
    <n v="0.85"/>
    <n v="4314.72"/>
    <n v="0"/>
    <n v="4752.9411764705883"/>
    <n v="56"/>
    <n v="274.72000000000025"/>
  </r>
  <r>
    <s v="L0753"/>
    <x v="40"/>
    <s v="B0753"/>
    <x v="1"/>
    <x v="748"/>
    <n v="5"/>
    <n v="36"/>
    <x v="3"/>
    <x v="3"/>
    <x v="2"/>
    <x v="748"/>
    <s v="OWN"/>
    <n v="0.42"/>
    <n v="0.84"/>
    <n v="9183.2099999999991"/>
    <n v="3538.73"/>
    <n v="32333.333333333336"/>
    <n v="33"/>
    <n v="-14438.060000000001"/>
  </r>
  <r>
    <s v="L0754"/>
    <x v="553"/>
    <s v="B0754"/>
    <x v="5"/>
    <x v="749"/>
    <n v="5.9"/>
    <n v="60"/>
    <x v="0"/>
    <x v="6"/>
    <x v="0"/>
    <x v="749"/>
    <s v="OWN"/>
    <n v="0.13"/>
    <n v="0.76"/>
    <n v="19732.349999999999"/>
    <n v="0"/>
    <n v="24517.105263157893"/>
    <n v="62"/>
    <n v="1099.3499999999985"/>
  </r>
  <r>
    <s v="L0755"/>
    <x v="241"/>
    <s v="B0755"/>
    <x v="1"/>
    <x v="750"/>
    <n v="11.8"/>
    <n v="60"/>
    <x v="0"/>
    <x v="4"/>
    <x v="2"/>
    <x v="750"/>
    <s v="OWN"/>
    <n v="0.25"/>
    <n v="0.6"/>
    <n v="33924.589999999997"/>
    <n v="0"/>
    <n v="50573.333333333336"/>
    <n v="52"/>
    <n v="3580.5899999999965"/>
  </r>
  <r>
    <s v="L0756"/>
    <x v="554"/>
    <s v="B0756"/>
    <x v="4"/>
    <x v="751"/>
    <n v="17.7"/>
    <n v="60"/>
    <x v="1"/>
    <x v="0"/>
    <x v="4"/>
    <x v="751"/>
    <s v="MORTGAGE"/>
    <n v="0.25"/>
    <n v="0.54"/>
    <n v="7265.79"/>
    <n v="0"/>
    <n v="33359.259259259255"/>
    <n v="51"/>
    <n v="-10748.21"/>
  </r>
  <r>
    <s v="L0757"/>
    <x v="229"/>
    <s v="B0757"/>
    <x v="6"/>
    <x v="752"/>
    <n v="6.4"/>
    <n v="36"/>
    <x v="0"/>
    <x v="5"/>
    <x v="4"/>
    <x v="752"/>
    <s v="OWN"/>
    <n v="0.45"/>
    <n v="0.53"/>
    <n v="17019.740000000002"/>
    <n v="0"/>
    <n v="30181.132075471698"/>
    <n v="36"/>
    <n v="1023.7400000000016"/>
  </r>
  <r>
    <s v="L0758"/>
    <x v="38"/>
    <s v="B0758"/>
    <x v="9"/>
    <x v="753"/>
    <n v="5.0999999999999996"/>
    <n v="60"/>
    <x v="0"/>
    <x v="1"/>
    <x v="1"/>
    <x v="753"/>
    <s v="RENT"/>
    <n v="0.16"/>
    <n v="0.77"/>
    <n v="13342.44"/>
    <n v="0"/>
    <n v="16487.012987012986"/>
    <n v="37"/>
    <n v="647.44000000000051"/>
  </r>
  <r>
    <s v="L0759"/>
    <x v="555"/>
    <s v="B0759"/>
    <x v="5"/>
    <x v="754"/>
    <n v="23.7"/>
    <n v="60"/>
    <x v="0"/>
    <x v="5"/>
    <x v="2"/>
    <x v="754"/>
    <s v="RENT"/>
    <n v="0.16"/>
    <n v="0.87"/>
    <n v="4764.92"/>
    <n v="0"/>
    <n v="4427.5862068965516"/>
    <n v="32"/>
    <n v="912.92000000000007"/>
  </r>
  <r>
    <s v="L0760"/>
    <x v="130"/>
    <s v="B0760"/>
    <x v="4"/>
    <x v="755"/>
    <n v="21.4"/>
    <n v="36"/>
    <x v="0"/>
    <x v="5"/>
    <x v="2"/>
    <x v="755"/>
    <s v="RENT"/>
    <n v="0.23"/>
    <n v="0.89"/>
    <n v="20655"/>
    <n v="0"/>
    <n v="19116.853932584268"/>
    <n v="52"/>
    <n v="3641"/>
  </r>
  <r>
    <s v="L0761"/>
    <x v="446"/>
    <s v="B0761"/>
    <x v="3"/>
    <x v="756"/>
    <n v="21.2"/>
    <n v="60"/>
    <x v="0"/>
    <x v="5"/>
    <x v="0"/>
    <x v="756"/>
    <s v="RENT"/>
    <n v="0.12"/>
    <n v="0.71"/>
    <n v="33986.9"/>
    <n v="0"/>
    <n v="39495.774647887323"/>
    <n v="54"/>
    <n v="5944.9000000000015"/>
  </r>
  <r>
    <s v="L0762"/>
    <x v="556"/>
    <s v="B0762"/>
    <x v="8"/>
    <x v="757"/>
    <n v="22.7"/>
    <n v="36"/>
    <x v="0"/>
    <x v="4"/>
    <x v="0"/>
    <x v="757"/>
    <s v="OWN"/>
    <n v="0.17"/>
    <n v="0.85"/>
    <n v="42644.38"/>
    <n v="0"/>
    <n v="40888.23529411765"/>
    <n v="51"/>
    <n v="7889.3799999999974"/>
  </r>
  <r>
    <s v="L0763"/>
    <x v="557"/>
    <s v="B0763"/>
    <x v="1"/>
    <x v="758"/>
    <n v="19"/>
    <n v="36"/>
    <x v="0"/>
    <x v="4"/>
    <x v="2"/>
    <x v="758"/>
    <s v="MORTGAGE"/>
    <n v="0.49"/>
    <n v="0.93"/>
    <n v="29406.09"/>
    <n v="0"/>
    <n v="26570.967741935481"/>
    <n v="50"/>
    <n v="4695.09"/>
  </r>
  <r>
    <s v="L0764"/>
    <x v="366"/>
    <s v="B0764"/>
    <x v="3"/>
    <x v="759"/>
    <n v="7.1"/>
    <n v="60"/>
    <x v="0"/>
    <x v="5"/>
    <x v="1"/>
    <x v="759"/>
    <s v="RENT"/>
    <n v="0.27"/>
    <n v="0.62"/>
    <n v="29047.66"/>
    <n v="0"/>
    <n v="43745.161290322583"/>
    <n v="43"/>
    <n v="1925.6599999999999"/>
  </r>
  <r>
    <s v="L0765"/>
    <x v="280"/>
    <s v="B0765"/>
    <x v="5"/>
    <x v="760"/>
    <n v="13"/>
    <n v="60"/>
    <x v="1"/>
    <x v="0"/>
    <x v="2"/>
    <x v="760"/>
    <s v="RENT"/>
    <n v="0.35"/>
    <n v="0.68"/>
    <n v="1593.02"/>
    <n v="0"/>
    <n v="14941.176470588234"/>
    <n v="45"/>
    <n v="-8566.98"/>
  </r>
  <r>
    <s v="L0766"/>
    <x v="558"/>
    <s v="B0766"/>
    <x v="4"/>
    <x v="761"/>
    <n v="19.5"/>
    <n v="60"/>
    <x v="1"/>
    <x v="4"/>
    <x v="0"/>
    <x v="761"/>
    <s v="MORTGAGE"/>
    <n v="0.39"/>
    <n v="0.92"/>
    <n v="5075.51"/>
    <n v="0"/>
    <n v="30666.304347826084"/>
    <n v="32"/>
    <n v="-23137.489999999998"/>
  </r>
  <r>
    <s v="L0767"/>
    <x v="341"/>
    <s v="B0767"/>
    <x v="6"/>
    <x v="762"/>
    <n v="10.6"/>
    <n v="36"/>
    <x v="0"/>
    <x v="4"/>
    <x v="2"/>
    <x v="762"/>
    <s v="MORTGAGE"/>
    <n v="0.25"/>
    <n v="0.65"/>
    <n v="9313.6299999999992"/>
    <n v="0"/>
    <n v="12955.384615384615"/>
    <n v="33"/>
    <n v="892.6299999999992"/>
  </r>
  <r>
    <s v="L0768"/>
    <x v="55"/>
    <s v="B0768"/>
    <x v="1"/>
    <x v="763"/>
    <n v="18.7"/>
    <n v="36"/>
    <x v="1"/>
    <x v="5"/>
    <x v="0"/>
    <x v="763"/>
    <s v="RENT"/>
    <n v="0.16"/>
    <n v="0.91"/>
    <n v="10574.92"/>
    <n v="0"/>
    <n v="24615.384615384613"/>
    <n v="53"/>
    <n v="-11825.08"/>
  </r>
  <r>
    <s v="L0769"/>
    <x v="200"/>
    <s v="B0769"/>
    <x v="8"/>
    <x v="764"/>
    <n v="5.5"/>
    <n v="36"/>
    <x v="1"/>
    <x v="0"/>
    <x v="2"/>
    <x v="764"/>
    <s v="RENT"/>
    <n v="0.18"/>
    <n v="0.94"/>
    <n v="14559.15"/>
    <n v="0"/>
    <n v="36741.48936170213"/>
    <n v="36"/>
    <n v="-19977.849999999999"/>
  </r>
  <r>
    <s v="L0770"/>
    <x v="559"/>
    <s v="B0770"/>
    <x v="6"/>
    <x v="765"/>
    <n v="11.1"/>
    <n v="60"/>
    <x v="1"/>
    <x v="6"/>
    <x v="3"/>
    <x v="765"/>
    <s v="MORTGAGE"/>
    <n v="0.23"/>
    <n v="0.8"/>
    <n v="6816.79"/>
    <n v="0"/>
    <n v="23408.75"/>
    <n v="38"/>
    <n v="-11910.21"/>
  </r>
  <r>
    <s v="L0771"/>
    <x v="260"/>
    <s v="B0771"/>
    <x v="0"/>
    <x v="766"/>
    <n v="16"/>
    <n v="60"/>
    <x v="1"/>
    <x v="5"/>
    <x v="0"/>
    <x v="766"/>
    <s v="RENT"/>
    <n v="0.35"/>
    <n v="0.87"/>
    <n v="466.17"/>
    <n v="0"/>
    <n v="6158.6206896551721"/>
    <n v="62"/>
    <n v="-4891.83"/>
  </r>
  <r>
    <s v="L0772"/>
    <x v="353"/>
    <s v="B0772"/>
    <x v="4"/>
    <x v="767"/>
    <n v="17.600000000000001"/>
    <n v="60"/>
    <x v="0"/>
    <x v="1"/>
    <x v="1"/>
    <x v="767"/>
    <s v="RENT"/>
    <n v="0.26"/>
    <n v="0.84"/>
    <n v="34670.83"/>
    <n v="0"/>
    <n v="35097.619047619046"/>
    <n v="34"/>
    <n v="5188.8300000000017"/>
  </r>
  <r>
    <s v="L0773"/>
    <x v="505"/>
    <s v="B0773"/>
    <x v="3"/>
    <x v="768"/>
    <n v="16.5"/>
    <n v="60"/>
    <x v="3"/>
    <x v="1"/>
    <x v="3"/>
    <x v="768"/>
    <s v="OWN"/>
    <n v="0.1"/>
    <n v="0.81"/>
    <n v="7467.2"/>
    <n v="5237.4799999999996"/>
    <n v="40885.185185185182"/>
    <n v="60"/>
    <n v="-20412.32"/>
  </r>
  <r>
    <s v="L0774"/>
    <x v="536"/>
    <s v="B0774"/>
    <x v="1"/>
    <x v="769"/>
    <n v="19"/>
    <n v="36"/>
    <x v="0"/>
    <x v="4"/>
    <x v="2"/>
    <x v="769"/>
    <s v="MORTGAGE"/>
    <n v="0.31"/>
    <n v="0.64"/>
    <n v="28755.16"/>
    <n v="0"/>
    <n v="37756.25"/>
    <n v="43"/>
    <n v="4591.16"/>
  </r>
  <r>
    <s v="L0775"/>
    <x v="560"/>
    <s v="B0775"/>
    <x v="1"/>
    <x v="741"/>
    <n v="5.0999999999999996"/>
    <n v="36"/>
    <x v="0"/>
    <x v="5"/>
    <x v="0"/>
    <x v="770"/>
    <s v="OWN"/>
    <n v="0.47"/>
    <n v="0.53"/>
    <n v="34588.410000000003"/>
    <n v="0"/>
    <n v="62094.339622641506"/>
    <n v="58"/>
    <n v="1678.4100000000035"/>
  </r>
  <r>
    <s v="L0776"/>
    <x v="34"/>
    <s v="B0776"/>
    <x v="5"/>
    <x v="770"/>
    <n v="7"/>
    <n v="36"/>
    <x v="1"/>
    <x v="2"/>
    <x v="3"/>
    <x v="771"/>
    <s v="OWN"/>
    <n v="0.42"/>
    <n v="0.65"/>
    <n v="10105.27"/>
    <n v="0"/>
    <n v="51532.307692307688"/>
    <n v="42"/>
    <n v="-23390.73"/>
  </r>
  <r>
    <s v="L0777"/>
    <x v="360"/>
    <s v="B0777"/>
    <x v="8"/>
    <x v="771"/>
    <n v="22.4"/>
    <n v="36"/>
    <x v="0"/>
    <x v="1"/>
    <x v="1"/>
    <x v="772"/>
    <s v="MORTGAGE"/>
    <n v="0.43"/>
    <n v="0.8"/>
    <n v="37174.1"/>
    <n v="0"/>
    <n v="37963.75"/>
    <n v="27"/>
    <n v="6803.0999999999985"/>
  </r>
  <r>
    <s v="L0778"/>
    <x v="561"/>
    <s v="B0778"/>
    <x v="2"/>
    <x v="772"/>
    <n v="18.600000000000001"/>
    <n v="60"/>
    <x v="0"/>
    <x v="3"/>
    <x v="0"/>
    <x v="773"/>
    <s v="OWN"/>
    <n v="0.42"/>
    <n v="0.55000000000000004"/>
    <n v="46807.86"/>
    <n v="0"/>
    <n v="71758.181818181809"/>
    <n v="59"/>
    <n v="7340.8600000000006"/>
  </r>
  <r>
    <s v="L0779"/>
    <x v="50"/>
    <s v="B0779"/>
    <x v="0"/>
    <x v="773"/>
    <n v="7.3"/>
    <n v="60"/>
    <x v="1"/>
    <x v="1"/>
    <x v="3"/>
    <x v="774"/>
    <s v="RENT"/>
    <n v="0.23"/>
    <n v="0.51"/>
    <n v="2501.9899999999998"/>
    <n v="0"/>
    <n v="36519.607843137252"/>
    <n v="49"/>
    <n v="-16123.01"/>
  </r>
  <r>
    <s v="L0780"/>
    <x v="59"/>
    <s v="B0780"/>
    <x v="6"/>
    <x v="774"/>
    <n v="21.8"/>
    <n v="60"/>
    <x v="1"/>
    <x v="0"/>
    <x v="3"/>
    <x v="775"/>
    <s v="OWN"/>
    <n v="0.41"/>
    <n v="0.56000000000000005"/>
    <n v="8782.64"/>
    <n v="0"/>
    <n v="62308.928571428565"/>
    <n v="52"/>
    <n v="-26110.36"/>
  </r>
  <r>
    <s v="L0781"/>
    <x v="562"/>
    <s v="B0781"/>
    <x v="9"/>
    <x v="775"/>
    <n v="9.8000000000000007"/>
    <n v="36"/>
    <x v="1"/>
    <x v="0"/>
    <x v="3"/>
    <x v="776"/>
    <s v="MORTGAGE"/>
    <n v="0.16"/>
    <n v="0.82"/>
    <n v="3779.2"/>
    <n v="0"/>
    <n v="14381.707317073171"/>
    <n v="42"/>
    <n v="-8013.8"/>
  </r>
  <r>
    <s v="L0782"/>
    <x v="563"/>
    <s v="B0782"/>
    <x v="9"/>
    <x v="776"/>
    <n v="14.6"/>
    <n v="36"/>
    <x v="1"/>
    <x v="5"/>
    <x v="4"/>
    <x v="777"/>
    <s v="RENT"/>
    <n v="0.36"/>
    <n v="0.94"/>
    <n v="6315.61"/>
    <n v="0"/>
    <n v="34050"/>
    <n v="36"/>
    <n v="-25691.39"/>
  </r>
  <r>
    <s v="L0783"/>
    <x v="564"/>
    <s v="B0783"/>
    <x v="1"/>
    <x v="777"/>
    <n v="7.9"/>
    <n v="60"/>
    <x v="0"/>
    <x v="4"/>
    <x v="2"/>
    <x v="778"/>
    <s v="RENT"/>
    <n v="0.36"/>
    <n v="0.94"/>
    <n v="28880.51"/>
    <n v="0"/>
    <n v="28474.468085106386"/>
    <n v="48"/>
    <n v="2114.5099999999984"/>
  </r>
  <r>
    <s v="L0784"/>
    <x v="434"/>
    <s v="B0784"/>
    <x v="5"/>
    <x v="778"/>
    <n v="19.2"/>
    <n v="60"/>
    <x v="0"/>
    <x v="4"/>
    <x v="0"/>
    <x v="779"/>
    <s v="RENT"/>
    <n v="0.11"/>
    <n v="0.72"/>
    <n v="15881.02"/>
    <n v="0"/>
    <n v="18504.166666666668"/>
    <n v="28"/>
    <n v="2558.0200000000004"/>
  </r>
  <r>
    <s v="L0785"/>
    <x v="250"/>
    <s v="B0785"/>
    <x v="7"/>
    <x v="779"/>
    <n v="18.3"/>
    <n v="36"/>
    <x v="1"/>
    <x v="6"/>
    <x v="0"/>
    <x v="780"/>
    <s v="RENT"/>
    <n v="0.42"/>
    <n v="0.89"/>
    <n v="3549.8"/>
    <n v="0"/>
    <n v="9935.9550561797751"/>
    <n v="43"/>
    <n v="-5293.2"/>
  </r>
  <r>
    <s v="L0786"/>
    <x v="565"/>
    <s v="B0786"/>
    <x v="1"/>
    <x v="780"/>
    <n v="9.1999999999999993"/>
    <n v="60"/>
    <x v="0"/>
    <x v="4"/>
    <x v="0"/>
    <x v="781"/>
    <s v="OWN"/>
    <n v="0.46"/>
    <n v="0.83"/>
    <n v="16609.32"/>
    <n v="0"/>
    <n v="18325.30120481928"/>
    <n v="57"/>
    <n v="1399.3199999999997"/>
  </r>
  <r>
    <s v="L0787"/>
    <x v="216"/>
    <s v="B0787"/>
    <x v="9"/>
    <x v="781"/>
    <n v="22.3"/>
    <n v="36"/>
    <x v="1"/>
    <x v="4"/>
    <x v="3"/>
    <x v="782"/>
    <s v="OWN"/>
    <n v="0.21"/>
    <n v="0.73"/>
    <n v="7474.7"/>
    <n v="0"/>
    <n v="23912.328767123287"/>
    <n v="29"/>
    <n v="-9981.2999999999993"/>
  </r>
  <r>
    <s v="L0788"/>
    <x v="566"/>
    <s v="B0788"/>
    <x v="9"/>
    <x v="782"/>
    <n v="13"/>
    <n v="36"/>
    <x v="0"/>
    <x v="6"/>
    <x v="2"/>
    <x v="783"/>
    <s v="RENT"/>
    <n v="0.42"/>
    <n v="0.76"/>
    <n v="36574.71"/>
    <n v="0"/>
    <n v="42588.15789473684"/>
    <n v="40"/>
    <n v="4207.7099999999991"/>
  </r>
  <r>
    <s v="L0789"/>
    <x v="514"/>
    <s v="B0789"/>
    <x v="0"/>
    <x v="783"/>
    <n v="10.9"/>
    <n v="36"/>
    <x v="0"/>
    <x v="6"/>
    <x v="1"/>
    <x v="784"/>
    <s v="MORTGAGE"/>
    <n v="0.13"/>
    <n v="0.56000000000000005"/>
    <n v="12316.55"/>
    <n v="0"/>
    <n v="19832.142857142855"/>
    <n v="57"/>
    <n v="1210.5499999999993"/>
  </r>
  <r>
    <s v="L0790"/>
    <x v="567"/>
    <s v="B0790"/>
    <x v="3"/>
    <x v="784"/>
    <n v="8"/>
    <n v="60"/>
    <x v="0"/>
    <x v="4"/>
    <x v="0"/>
    <x v="785"/>
    <s v="RENT"/>
    <n v="0.34"/>
    <n v="0.92"/>
    <n v="42073.56"/>
    <n v="0"/>
    <n v="42344.565217391304"/>
    <n v="29"/>
    <n v="3116.5599999999977"/>
  </r>
  <r>
    <s v="L0791"/>
    <x v="91"/>
    <s v="B0791"/>
    <x v="7"/>
    <x v="785"/>
    <n v="10.3"/>
    <n v="60"/>
    <x v="1"/>
    <x v="6"/>
    <x v="2"/>
    <x v="786"/>
    <s v="OWN"/>
    <n v="0.28999999999999998"/>
    <n v="0.66"/>
    <n v="679.21"/>
    <n v="0"/>
    <n v="5260.6060606060601"/>
    <n v="46"/>
    <n v="-2792.79"/>
  </r>
  <r>
    <s v="L0792"/>
    <x v="568"/>
    <s v="B0792"/>
    <x v="1"/>
    <x v="786"/>
    <n v="5.4"/>
    <n v="36"/>
    <x v="0"/>
    <x v="6"/>
    <x v="2"/>
    <x v="787"/>
    <s v="RENT"/>
    <n v="0.32"/>
    <n v="0.7"/>
    <n v="8120.02"/>
    <n v="0"/>
    <n v="11005.714285714286"/>
    <n v="35"/>
    <n v="416.02000000000044"/>
  </r>
  <r>
    <s v="L0793"/>
    <x v="181"/>
    <s v="B0793"/>
    <x v="0"/>
    <x v="787"/>
    <n v="16.7"/>
    <n v="60"/>
    <x v="0"/>
    <x v="4"/>
    <x v="4"/>
    <x v="788"/>
    <s v="OWN"/>
    <n v="0.47"/>
    <n v="0.8"/>
    <n v="5500.07"/>
    <n v="0"/>
    <n v="5891.25"/>
    <n v="59"/>
    <n v="787.06999999999971"/>
  </r>
  <r>
    <s v="L0794"/>
    <x v="231"/>
    <s v="B0794"/>
    <x v="5"/>
    <x v="788"/>
    <n v="21.8"/>
    <n v="36"/>
    <x v="0"/>
    <x v="0"/>
    <x v="0"/>
    <x v="789"/>
    <s v="RENT"/>
    <n v="0.45"/>
    <n v="0.65"/>
    <n v="7370.12"/>
    <n v="0"/>
    <n v="9309.2307692307695"/>
    <n v="27"/>
    <n v="1319.12"/>
  </r>
  <r>
    <s v="L0795"/>
    <x v="149"/>
    <s v="B0795"/>
    <x v="0"/>
    <x v="789"/>
    <n v="16"/>
    <n v="36"/>
    <x v="0"/>
    <x v="0"/>
    <x v="3"/>
    <x v="790"/>
    <s v="MORTGAGE"/>
    <n v="0.41"/>
    <n v="0.61"/>
    <n v="13636.96"/>
    <n v="0"/>
    <n v="19272.131147540986"/>
    <n v="56"/>
    <n v="1880.9599999999991"/>
  </r>
  <r>
    <s v="L0796"/>
    <x v="569"/>
    <s v="B0796"/>
    <x v="1"/>
    <x v="790"/>
    <n v="9.4"/>
    <n v="36"/>
    <x v="0"/>
    <x v="5"/>
    <x v="2"/>
    <x v="791"/>
    <s v="RENT"/>
    <n v="0.21"/>
    <n v="0.78"/>
    <n v="3801.65"/>
    <n v="0"/>
    <n v="4455.1282051282051"/>
    <n v="43"/>
    <n v="326.65000000000009"/>
  </r>
  <r>
    <s v="L0797"/>
    <x v="570"/>
    <s v="B0797"/>
    <x v="4"/>
    <x v="700"/>
    <n v="5.7"/>
    <n v="36"/>
    <x v="0"/>
    <x v="4"/>
    <x v="2"/>
    <x v="792"/>
    <s v="MORTGAGE"/>
    <n v="0.46"/>
    <n v="0.51"/>
    <n v="39508.550000000003"/>
    <n v="0"/>
    <n v="73290.196078431371"/>
    <n v="49"/>
    <n v="2130.5500000000029"/>
  </r>
  <r>
    <s v="L0798"/>
    <x v="571"/>
    <s v="B0798"/>
    <x v="2"/>
    <x v="791"/>
    <n v="9.3000000000000007"/>
    <n v="60"/>
    <x v="0"/>
    <x v="3"/>
    <x v="1"/>
    <x v="793"/>
    <s v="MORTGAGE"/>
    <n v="0.14000000000000001"/>
    <n v="0.82"/>
    <n v="5743.72"/>
    <n v="0"/>
    <n v="6408.5365853658541"/>
    <n v="44"/>
    <n v="488.72000000000025"/>
  </r>
  <r>
    <s v="L0799"/>
    <x v="107"/>
    <s v="B0799"/>
    <x v="1"/>
    <x v="792"/>
    <n v="13.3"/>
    <n v="36"/>
    <x v="0"/>
    <x v="1"/>
    <x v="4"/>
    <x v="794"/>
    <s v="RENT"/>
    <n v="0.44"/>
    <n v="0.73"/>
    <n v="17543.37"/>
    <n v="0"/>
    <n v="21210.95890410959"/>
    <n v="28"/>
    <n v="2059.369999999999"/>
  </r>
  <r>
    <s v="L0800"/>
    <x v="572"/>
    <s v="B0800"/>
    <x v="8"/>
    <x v="793"/>
    <n v="20.2"/>
    <n v="36"/>
    <x v="0"/>
    <x v="1"/>
    <x v="2"/>
    <x v="795"/>
    <s v="MORTGAGE"/>
    <n v="0.23"/>
    <n v="0.77"/>
    <n v="42674.61"/>
    <n v="0"/>
    <n v="46107.792207792205"/>
    <n v="46"/>
    <n v="7171.6100000000006"/>
  </r>
  <r>
    <s v="L0801"/>
    <x v="573"/>
    <s v="B0801"/>
    <x v="9"/>
    <x v="794"/>
    <n v="8.8000000000000007"/>
    <n v="60"/>
    <x v="1"/>
    <x v="2"/>
    <x v="2"/>
    <x v="796"/>
    <s v="MORTGAGE"/>
    <n v="0.12"/>
    <n v="0.78"/>
    <n v="3956.83"/>
    <n v="0"/>
    <n v="11869.23076923077"/>
    <n v="32"/>
    <n v="-5301.17"/>
  </r>
  <r>
    <s v="L0802"/>
    <x v="574"/>
    <s v="B0802"/>
    <x v="7"/>
    <x v="314"/>
    <n v="19.399999999999999"/>
    <n v="36"/>
    <x v="3"/>
    <x v="2"/>
    <x v="3"/>
    <x v="797"/>
    <s v="OWN"/>
    <n v="0.37"/>
    <n v="0.74"/>
    <n v="4744.32"/>
    <n v="13544.73"/>
    <n v="48913.513513513513"/>
    <n v="48"/>
    <n v="-17906.95"/>
  </r>
  <r>
    <s v="L0803"/>
    <x v="575"/>
    <s v="B0803"/>
    <x v="7"/>
    <x v="795"/>
    <n v="22.3"/>
    <n v="36"/>
    <x v="0"/>
    <x v="4"/>
    <x v="3"/>
    <x v="798"/>
    <s v="OWN"/>
    <n v="0.19"/>
    <n v="0.76"/>
    <n v="11658.86"/>
    <n v="0"/>
    <n v="12543.421052631578"/>
    <n v="57"/>
    <n v="2125.8600000000006"/>
  </r>
  <r>
    <s v="L0804"/>
    <x v="576"/>
    <s v="B0804"/>
    <x v="3"/>
    <x v="796"/>
    <n v="14.1"/>
    <n v="60"/>
    <x v="0"/>
    <x v="0"/>
    <x v="1"/>
    <x v="799"/>
    <s v="MORTGAGE"/>
    <n v="0.2"/>
    <n v="0.81"/>
    <n v="38315.919999999998"/>
    <n v="0"/>
    <n v="41458.024691358019"/>
    <n v="44"/>
    <n v="4734.9199999999983"/>
  </r>
  <r>
    <s v="L0805"/>
    <x v="112"/>
    <s v="B0805"/>
    <x v="2"/>
    <x v="797"/>
    <n v="21.4"/>
    <n v="60"/>
    <x v="0"/>
    <x v="1"/>
    <x v="1"/>
    <x v="800"/>
    <s v="RENT"/>
    <n v="0.22"/>
    <n v="0.84"/>
    <n v="7586.29"/>
    <n v="0"/>
    <n v="7439.2857142857147"/>
    <n v="29"/>
    <n v="1337.29"/>
  </r>
  <r>
    <s v="L0806"/>
    <x v="288"/>
    <s v="B0806"/>
    <x v="8"/>
    <x v="798"/>
    <n v="16.100000000000001"/>
    <n v="60"/>
    <x v="1"/>
    <x v="4"/>
    <x v="1"/>
    <x v="801"/>
    <s v="MORTGAGE"/>
    <n v="0.13"/>
    <n v="0.83"/>
    <n v="8625.3799999999992"/>
    <n v="0"/>
    <n v="24338.554216867473"/>
    <n v="29"/>
    <n v="-11575.62"/>
  </r>
  <r>
    <s v="L0807"/>
    <x v="577"/>
    <s v="B0807"/>
    <x v="9"/>
    <x v="799"/>
    <n v="17.7"/>
    <n v="36"/>
    <x v="0"/>
    <x v="5"/>
    <x v="3"/>
    <x v="802"/>
    <s v="RENT"/>
    <n v="0.17"/>
    <n v="0.89"/>
    <n v="12577.42"/>
    <n v="0"/>
    <n v="12006.741573033707"/>
    <n v="31"/>
    <n v="1891.42"/>
  </r>
  <r>
    <s v="L0808"/>
    <x v="79"/>
    <s v="B0808"/>
    <x v="7"/>
    <x v="800"/>
    <n v="15.5"/>
    <n v="60"/>
    <x v="0"/>
    <x v="1"/>
    <x v="3"/>
    <x v="803"/>
    <s v="OWN"/>
    <n v="0.1"/>
    <n v="0.59"/>
    <n v="38123.08"/>
    <n v="0"/>
    <n v="55944.067796610172"/>
    <n v="53"/>
    <n v="5116.0800000000017"/>
  </r>
  <r>
    <s v="L0809"/>
    <x v="578"/>
    <s v="B0809"/>
    <x v="8"/>
    <x v="470"/>
    <n v="14.3"/>
    <n v="60"/>
    <x v="1"/>
    <x v="2"/>
    <x v="4"/>
    <x v="804"/>
    <s v="RENT"/>
    <n v="0.28000000000000003"/>
    <n v="0.68"/>
    <n v="197.22"/>
    <n v="0"/>
    <n v="2442.6470588235293"/>
    <n v="56"/>
    <n v="-1463.78"/>
  </r>
  <r>
    <s v="L0810"/>
    <x v="579"/>
    <s v="B0810"/>
    <x v="0"/>
    <x v="801"/>
    <n v="9.6999999999999993"/>
    <n v="36"/>
    <x v="0"/>
    <x v="4"/>
    <x v="0"/>
    <x v="805"/>
    <s v="MORTGAGE"/>
    <n v="0.13"/>
    <n v="0.93"/>
    <n v="34157.29"/>
    <n v="0"/>
    <n v="33480.645161290318"/>
    <n v="42"/>
    <n v="3020.2900000000009"/>
  </r>
  <r>
    <s v="L0811"/>
    <x v="580"/>
    <s v="B0811"/>
    <x v="3"/>
    <x v="802"/>
    <n v="11.1"/>
    <n v="36"/>
    <x v="1"/>
    <x v="6"/>
    <x v="0"/>
    <x v="806"/>
    <s v="MORTGAGE"/>
    <n v="0.37"/>
    <n v="0.68"/>
    <n v="1006.42"/>
    <n v="0"/>
    <n v="16950"/>
    <n v="45"/>
    <n v="-10519.58"/>
  </r>
  <r>
    <s v="L0812"/>
    <x v="581"/>
    <s v="B0812"/>
    <x v="1"/>
    <x v="803"/>
    <n v="10.8"/>
    <n v="36"/>
    <x v="0"/>
    <x v="4"/>
    <x v="4"/>
    <x v="807"/>
    <s v="MORTGAGE"/>
    <n v="0.19"/>
    <n v="0.56000000000000005"/>
    <n v="4846.3900000000003"/>
    <n v="0"/>
    <n v="7810.7142857142853"/>
    <n v="34"/>
    <n v="472.39000000000033"/>
  </r>
  <r>
    <s v="L0813"/>
    <x v="10"/>
    <s v="B0813"/>
    <x v="1"/>
    <x v="804"/>
    <n v="16.3"/>
    <n v="36"/>
    <x v="1"/>
    <x v="1"/>
    <x v="0"/>
    <x v="808"/>
    <s v="MORTGAGE"/>
    <n v="0.48"/>
    <n v="0.74"/>
    <n v="9009.34"/>
    <n v="0"/>
    <n v="35935.135135135133"/>
    <n v="36"/>
    <n v="-17582.66"/>
  </r>
  <r>
    <s v="L0814"/>
    <x v="395"/>
    <s v="B0814"/>
    <x v="4"/>
    <x v="805"/>
    <n v="7.4"/>
    <n v="36"/>
    <x v="0"/>
    <x v="0"/>
    <x v="3"/>
    <x v="809"/>
    <s v="MORTGAGE"/>
    <n v="0.45"/>
    <n v="0.55000000000000004"/>
    <n v="32200.67"/>
    <n v="0"/>
    <n v="54512.727272727265"/>
    <n v="35"/>
    <n v="2218.6699999999983"/>
  </r>
  <r>
    <s v="L0815"/>
    <x v="517"/>
    <s v="B0815"/>
    <x v="9"/>
    <x v="806"/>
    <n v="23.3"/>
    <n v="60"/>
    <x v="3"/>
    <x v="6"/>
    <x v="0"/>
    <x v="810"/>
    <s v="RENT"/>
    <n v="0.22"/>
    <n v="0.59"/>
    <n v="291.58999999999997"/>
    <n v="508.63"/>
    <n v="2045.7627118644068"/>
    <n v="55"/>
    <n v="-406.78"/>
  </r>
  <r>
    <s v="L0816"/>
    <x v="582"/>
    <s v="B0816"/>
    <x v="8"/>
    <x v="807"/>
    <n v="19.399999999999999"/>
    <n v="60"/>
    <x v="1"/>
    <x v="0"/>
    <x v="3"/>
    <x v="811"/>
    <s v="MORTGAGE"/>
    <n v="0.41"/>
    <n v="0.95"/>
    <n v="16706.38"/>
    <n v="0"/>
    <n v="38350.526315789473"/>
    <n v="55"/>
    <n v="-19726.62"/>
  </r>
  <r>
    <s v="L0817"/>
    <x v="356"/>
    <s v="B0817"/>
    <x v="6"/>
    <x v="808"/>
    <n v="13"/>
    <n v="60"/>
    <x v="0"/>
    <x v="1"/>
    <x v="4"/>
    <x v="812"/>
    <s v="OWN"/>
    <n v="0.42"/>
    <n v="0.74"/>
    <n v="27342.61"/>
    <n v="0"/>
    <n v="32698.64864864865"/>
    <n v="31"/>
    <n v="3145.6100000000006"/>
  </r>
  <r>
    <s v="L0818"/>
    <x v="71"/>
    <s v="B0818"/>
    <x v="7"/>
    <x v="809"/>
    <n v="8.1999999999999993"/>
    <n v="36"/>
    <x v="0"/>
    <x v="0"/>
    <x v="1"/>
    <x v="813"/>
    <s v="MORTGAGE"/>
    <n v="0.49"/>
    <n v="0.63"/>
    <n v="37220.800000000003"/>
    <n v="0"/>
    <n v="54603.174603174601"/>
    <n v="62"/>
    <n v="2820.8000000000029"/>
  </r>
  <r>
    <s v="L0819"/>
    <x v="264"/>
    <s v="B0819"/>
    <x v="5"/>
    <x v="810"/>
    <n v="22.6"/>
    <n v="36"/>
    <x v="0"/>
    <x v="4"/>
    <x v="4"/>
    <x v="814"/>
    <s v="RENT"/>
    <n v="0.34"/>
    <n v="0.95"/>
    <n v="5005.76"/>
    <n v="0"/>
    <n v="4297.8947368421059"/>
    <n v="61"/>
    <n v="922.76000000000022"/>
  </r>
  <r>
    <s v="L0820"/>
    <x v="583"/>
    <s v="B0820"/>
    <x v="5"/>
    <x v="811"/>
    <n v="21.5"/>
    <n v="36"/>
    <x v="1"/>
    <x v="5"/>
    <x v="0"/>
    <x v="815"/>
    <s v="MORTGAGE"/>
    <n v="0.13"/>
    <n v="0.93"/>
    <n v="6473.06"/>
    <n v="0"/>
    <n v="32610.752688172041"/>
    <n v="51"/>
    <n v="-23854.94"/>
  </r>
  <r>
    <s v="L0821"/>
    <x v="584"/>
    <s v="B0821"/>
    <x v="1"/>
    <x v="812"/>
    <n v="19.399999999999999"/>
    <n v="60"/>
    <x v="1"/>
    <x v="4"/>
    <x v="3"/>
    <x v="816"/>
    <s v="MORTGAGE"/>
    <n v="0.36"/>
    <n v="0.7"/>
    <n v="3782.05"/>
    <n v="0"/>
    <n v="30147.142857142859"/>
    <n v="34"/>
    <n v="-17320.95"/>
  </r>
  <r>
    <s v="L0822"/>
    <x v="585"/>
    <s v="B0822"/>
    <x v="6"/>
    <x v="813"/>
    <n v="10.4"/>
    <n v="60"/>
    <x v="0"/>
    <x v="0"/>
    <x v="0"/>
    <x v="817"/>
    <s v="RENT"/>
    <n v="0.35"/>
    <n v="0.62"/>
    <n v="12976.42"/>
    <n v="0"/>
    <n v="18958.064516129034"/>
    <n v="58"/>
    <n v="1222.42"/>
  </r>
  <r>
    <s v="L0823"/>
    <x v="441"/>
    <s v="B0823"/>
    <x v="5"/>
    <x v="814"/>
    <n v="13"/>
    <n v="36"/>
    <x v="3"/>
    <x v="4"/>
    <x v="0"/>
    <x v="818"/>
    <s v="MORTGAGE"/>
    <n v="0.36"/>
    <n v="0.88"/>
    <n v="8869.57"/>
    <n v="8023.15"/>
    <n v="40280.681818181816"/>
    <n v="59"/>
    <n v="-18554.28"/>
  </r>
  <r>
    <s v="L0824"/>
    <x v="586"/>
    <s v="B0824"/>
    <x v="2"/>
    <x v="815"/>
    <n v="7.1"/>
    <n v="60"/>
    <x v="0"/>
    <x v="1"/>
    <x v="1"/>
    <x v="819"/>
    <s v="RENT"/>
    <n v="0.22"/>
    <n v="0.82"/>
    <n v="18100.97"/>
    <n v="0"/>
    <n v="20610.9756097561"/>
    <n v="42"/>
    <n v="1199.9700000000012"/>
  </r>
  <r>
    <s v="L0825"/>
    <x v="587"/>
    <s v="B0825"/>
    <x v="2"/>
    <x v="816"/>
    <n v="8.8000000000000007"/>
    <n v="36"/>
    <x v="0"/>
    <x v="1"/>
    <x v="0"/>
    <x v="820"/>
    <s v="MORTGAGE"/>
    <n v="0.44"/>
    <n v="0.81"/>
    <n v="36996.35"/>
    <n v="0"/>
    <n v="41980.246913580246"/>
    <n v="37"/>
    <n v="2992.3499999999985"/>
  </r>
  <r>
    <s v="L0826"/>
    <x v="487"/>
    <s v="B0826"/>
    <x v="9"/>
    <x v="817"/>
    <n v="20.7"/>
    <n v="60"/>
    <x v="3"/>
    <x v="0"/>
    <x v="1"/>
    <x v="821"/>
    <s v="OWN"/>
    <n v="0.48"/>
    <n v="0.9"/>
    <n v="1999.88"/>
    <n v="1314.2"/>
    <n v="9384.4444444444434"/>
    <n v="36"/>
    <n v="-5131.92"/>
  </r>
  <r>
    <s v="L0827"/>
    <x v="468"/>
    <s v="B0827"/>
    <x v="6"/>
    <x v="818"/>
    <n v="19.3"/>
    <n v="60"/>
    <x v="1"/>
    <x v="1"/>
    <x v="3"/>
    <x v="822"/>
    <s v="MORTGAGE"/>
    <n v="0.19"/>
    <n v="0.81"/>
    <n v="7832.97"/>
    <n v="0"/>
    <n v="47174.074074074073"/>
    <n v="60"/>
    <n v="-30378.03"/>
  </r>
  <r>
    <s v="L0828"/>
    <x v="588"/>
    <s v="B0828"/>
    <x v="2"/>
    <x v="819"/>
    <n v="16.899999999999999"/>
    <n v="60"/>
    <x v="0"/>
    <x v="0"/>
    <x v="3"/>
    <x v="823"/>
    <s v="RENT"/>
    <n v="0.14000000000000001"/>
    <n v="0.63"/>
    <n v="35421.870000000003"/>
    <n v="0"/>
    <n v="48096.825396825399"/>
    <n v="62"/>
    <n v="5120.8700000000026"/>
  </r>
  <r>
    <s v="L0829"/>
    <x v="6"/>
    <s v="B0829"/>
    <x v="2"/>
    <x v="820"/>
    <n v="22.9"/>
    <n v="36"/>
    <x v="1"/>
    <x v="5"/>
    <x v="1"/>
    <x v="824"/>
    <s v="OWN"/>
    <n v="0.18"/>
    <n v="0.81"/>
    <n v="9820.9699999999993"/>
    <n v="0"/>
    <n v="33476.543209876538"/>
    <n v="33"/>
    <n v="-17295.03"/>
  </r>
  <r>
    <s v="L0830"/>
    <x v="576"/>
    <s v="B0830"/>
    <x v="1"/>
    <x v="821"/>
    <n v="16.7"/>
    <n v="60"/>
    <x v="2"/>
    <x v="4"/>
    <x v="4"/>
    <x v="825"/>
    <s v="RENT"/>
    <n v="0.43"/>
    <n v="0.64"/>
    <n v="0"/>
    <n v="0"/>
    <n v="30862.5"/>
    <n v="44"/>
    <n v="-19752"/>
  </r>
  <r>
    <s v="L0831"/>
    <x v="589"/>
    <s v="B0831"/>
    <x v="5"/>
    <x v="822"/>
    <n v="14.3"/>
    <n v="60"/>
    <x v="1"/>
    <x v="5"/>
    <x v="3"/>
    <x v="826"/>
    <s v="MORTGAGE"/>
    <n v="0.37"/>
    <n v="0.84"/>
    <n v="13076.81"/>
    <n v="0"/>
    <n v="39733.333333333336"/>
    <n v="39"/>
    <n v="-20299.190000000002"/>
  </r>
  <r>
    <s v="L0832"/>
    <x v="301"/>
    <s v="B0832"/>
    <x v="9"/>
    <x v="823"/>
    <n v="11.8"/>
    <n v="36"/>
    <x v="1"/>
    <x v="4"/>
    <x v="4"/>
    <x v="827"/>
    <s v="OWN"/>
    <n v="0.35"/>
    <n v="0.78"/>
    <n v="7665.57"/>
    <n v="0"/>
    <n v="22652.564102564102"/>
    <n v="61"/>
    <n v="-10003.43"/>
  </r>
  <r>
    <s v="L0833"/>
    <x v="395"/>
    <s v="B0833"/>
    <x v="8"/>
    <x v="824"/>
    <n v="23.8"/>
    <n v="60"/>
    <x v="1"/>
    <x v="3"/>
    <x v="3"/>
    <x v="828"/>
    <s v="RENT"/>
    <n v="0.26"/>
    <n v="0.53"/>
    <n v="16543.73"/>
    <n v="0"/>
    <n v="63992.452830188675"/>
    <n v="35"/>
    <n v="-17372.27"/>
  </r>
  <r>
    <s v="L0834"/>
    <x v="167"/>
    <s v="B0834"/>
    <x v="0"/>
    <x v="825"/>
    <n v="6.7"/>
    <n v="36"/>
    <x v="0"/>
    <x v="4"/>
    <x v="3"/>
    <x v="829"/>
    <s v="OWN"/>
    <n v="0.33"/>
    <n v="0.73"/>
    <n v="15359.46"/>
    <n v="0"/>
    <n v="19719.178082191782"/>
    <n v="51"/>
    <n v="964.45999999999913"/>
  </r>
  <r>
    <s v="L0835"/>
    <x v="213"/>
    <s v="B0835"/>
    <x v="7"/>
    <x v="826"/>
    <n v="23.6"/>
    <n v="36"/>
    <x v="1"/>
    <x v="0"/>
    <x v="2"/>
    <x v="830"/>
    <s v="OWN"/>
    <n v="0.22"/>
    <n v="0.65"/>
    <n v="3641.47"/>
    <n v="0"/>
    <n v="32955.384615384617"/>
    <n v="52"/>
    <n v="-17779.53"/>
  </r>
  <r>
    <s v="L0836"/>
    <x v="510"/>
    <s v="B0836"/>
    <x v="7"/>
    <x v="827"/>
    <n v="21.5"/>
    <n v="36"/>
    <x v="0"/>
    <x v="4"/>
    <x v="0"/>
    <x v="831"/>
    <s v="RENT"/>
    <n v="0.28999999999999998"/>
    <n v="0.65"/>
    <n v="33220.53"/>
    <n v="0"/>
    <n v="42064.615384615383"/>
    <n v="50"/>
    <n v="5878.5299999999988"/>
  </r>
  <r>
    <s v="L0837"/>
    <x v="346"/>
    <s v="B0837"/>
    <x v="3"/>
    <x v="828"/>
    <n v="7.6"/>
    <n v="36"/>
    <x v="3"/>
    <x v="2"/>
    <x v="0"/>
    <x v="832"/>
    <s v="OWN"/>
    <n v="0.42"/>
    <n v="0.77"/>
    <n v="1855.91"/>
    <n v="1714.08"/>
    <n v="7655.8441558441555"/>
    <n v="49"/>
    <n v="-2325.0100000000002"/>
  </r>
  <r>
    <s v="L0838"/>
    <x v="296"/>
    <s v="B0838"/>
    <x v="0"/>
    <x v="829"/>
    <n v="16.3"/>
    <n v="36"/>
    <x v="0"/>
    <x v="1"/>
    <x v="4"/>
    <x v="833"/>
    <s v="RENT"/>
    <n v="0.49"/>
    <n v="0.65"/>
    <n v="13982.75"/>
    <n v="0"/>
    <n v="18496.923076923078"/>
    <n v="55"/>
    <n v="1959.75"/>
  </r>
  <r>
    <s v="L0839"/>
    <x v="590"/>
    <s v="B0839"/>
    <x v="0"/>
    <x v="830"/>
    <n v="22.3"/>
    <n v="60"/>
    <x v="1"/>
    <x v="1"/>
    <x v="0"/>
    <x v="834"/>
    <s v="OWN"/>
    <n v="0.47"/>
    <n v="0.85"/>
    <n v="2660.54"/>
    <n v="0"/>
    <n v="13763.529411764706"/>
    <n v="57"/>
    <n v="-9038.4599999999991"/>
  </r>
  <r>
    <s v="L0840"/>
    <x v="25"/>
    <s v="B0840"/>
    <x v="7"/>
    <x v="831"/>
    <n v="16.399999999999999"/>
    <n v="36"/>
    <x v="0"/>
    <x v="2"/>
    <x v="4"/>
    <x v="835"/>
    <s v="OWN"/>
    <n v="0.47"/>
    <n v="0.53"/>
    <n v="12472.26"/>
    <n v="0"/>
    <n v="20216.981132075471"/>
    <n v="31"/>
    <n v="1757.2600000000002"/>
  </r>
  <r>
    <s v="L0841"/>
    <x v="591"/>
    <s v="B0841"/>
    <x v="7"/>
    <x v="832"/>
    <n v="23.1"/>
    <n v="36"/>
    <x v="0"/>
    <x v="2"/>
    <x v="3"/>
    <x v="836"/>
    <s v="OWN"/>
    <n v="0.26"/>
    <n v="0.8"/>
    <n v="24828.04"/>
    <n v="0"/>
    <n v="25211.25"/>
    <n v="30"/>
    <n v="4659.0400000000009"/>
  </r>
  <r>
    <s v="L0842"/>
    <x v="216"/>
    <s v="B0842"/>
    <x v="8"/>
    <x v="833"/>
    <n v="23.9"/>
    <n v="36"/>
    <x v="0"/>
    <x v="1"/>
    <x v="2"/>
    <x v="837"/>
    <s v="MORTGAGE"/>
    <n v="0.28999999999999998"/>
    <n v="0.86"/>
    <n v="21264.959999999999"/>
    <n v="0"/>
    <n v="19956.976744186046"/>
    <n v="29"/>
    <n v="4101.9599999999991"/>
  </r>
  <r>
    <s v="L0843"/>
    <x v="236"/>
    <s v="B0843"/>
    <x v="6"/>
    <x v="834"/>
    <n v="13.4"/>
    <n v="36"/>
    <x v="2"/>
    <x v="0"/>
    <x v="2"/>
    <x v="838"/>
    <s v="MORTGAGE"/>
    <n v="0.38"/>
    <n v="0.8"/>
    <n v="0"/>
    <n v="0"/>
    <n v="8477.5"/>
    <n v="35"/>
    <n v="-6782"/>
  </r>
  <r>
    <s v="L0844"/>
    <x v="592"/>
    <s v="B0844"/>
    <x v="6"/>
    <x v="835"/>
    <n v="12.5"/>
    <n v="60"/>
    <x v="2"/>
    <x v="6"/>
    <x v="3"/>
    <x v="839"/>
    <s v="RENT"/>
    <n v="0.47"/>
    <n v="0.72"/>
    <n v="0"/>
    <n v="0"/>
    <n v="32834.722222222226"/>
    <n v="40"/>
    <n v="-23641"/>
  </r>
  <r>
    <s v="L0845"/>
    <x v="259"/>
    <s v="B0845"/>
    <x v="8"/>
    <x v="836"/>
    <n v="23.7"/>
    <n v="36"/>
    <x v="0"/>
    <x v="0"/>
    <x v="1"/>
    <x v="840"/>
    <s v="OWN"/>
    <n v="0.16"/>
    <n v="0.93"/>
    <n v="24482.7"/>
    <n v="0"/>
    <n v="21281.720430107525"/>
    <n v="29"/>
    <n v="4690.7000000000007"/>
  </r>
  <r>
    <s v="L0846"/>
    <x v="593"/>
    <s v="B0846"/>
    <x v="5"/>
    <x v="837"/>
    <n v="18.5"/>
    <n v="60"/>
    <x v="4"/>
    <x v="1"/>
    <x v="1"/>
    <x v="841"/>
    <s v="RENT"/>
    <n v="0.22"/>
    <n v="0.63"/>
    <n v="0"/>
    <n v="0"/>
    <n v="58071.428571428572"/>
    <n v="50"/>
    <n v="-36585"/>
  </r>
  <r>
    <s v="L0847"/>
    <x v="594"/>
    <s v="B0847"/>
    <x v="0"/>
    <x v="838"/>
    <n v="7.3"/>
    <n v="36"/>
    <x v="1"/>
    <x v="1"/>
    <x v="0"/>
    <x v="842"/>
    <s v="MORTGAGE"/>
    <n v="0.16"/>
    <n v="0.51"/>
    <n v="11237.19"/>
    <n v="0"/>
    <n v="62121.568627450979"/>
    <n v="29"/>
    <n v="-20444.809999999998"/>
  </r>
  <r>
    <s v="L0848"/>
    <x v="595"/>
    <s v="B0848"/>
    <x v="4"/>
    <x v="839"/>
    <n v="5.8"/>
    <n v="60"/>
    <x v="1"/>
    <x v="1"/>
    <x v="4"/>
    <x v="843"/>
    <s v="MORTGAGE"/>
    <n v="0.34"/>
    <n v="0.69"/>
    <n v="5252.13"/>
    <n v="0"/>
    <n v="28811.594202898552"/>
    <n v="33"/>
    <n v="-14627.869999999999"/>
  </r>
  <r>
    <s v="L0849"/>
    <x v="596"/>
    <s v="B0849"/>
    <x v="0"/>
    <x v="840"/>
    <n v="16.3"/>
    <n v="36"/>
    <x v="0"/>
    <x v="5"/>
    <x v="2"/>
    <x v="844"/>
    <s v="MORTGAGE"/>
    <n v="0.22"/>
    <n v="0.51"/>
    <n v="45434.92"/>
    <n v="0"/>
    <n v="76601.96078431372"/>
    <n v="58"/>
    <n v="6367.9199999999983"/>
  </r>
  <r>
    <s v="L0850"/>
    <x v="292"/>
    <s v="B0850"/>
    <x v="3"/>
    <x v="841"/>
    <n v="23.6"/>
    <n v="36"/>
    <x v="3"/>
    <x v="1"/>
    <x v="0"/>
    <x v="845"/>
    <s v="MORTGAGE"/>
    <n v="0.23"/>
    <n v="0.93"/>
    <n v="7593.57"/>
    <n v="6148.31"/>
    <n v="20508.602150537634"/>
    <n v="29"/>
    <n v="-5331.119999999999"/>
  </r>
  <r>
    <s v="L0851"/>
    <x v="482"/>
    <s v="B0851"/>
    <x v="7"/>
    <x v="842"/>
    <n v="21.9"/>
    <n v="60"/>
    <x v="1"/>
    <x v="2"/>
    <x v="3"/>
    <x v="846"/>
    <s v="RENT"/>
    <n v="0.13"/>
    <n v="0.59"/>
    <n v="13999.45"/>
    <n v="0"/>
    <n v="62771.186440677971"/>
    <n v="42"/>
    <n v="-23035.55"/>
  </r>
  <r>
    <s v="L0852"/>
    <x v="597"/>
    <s v="B0852"/>
    <x v="0"/>
    <x v="843"/>
    <n v="18.5"/>
    <n v="36"/>
    <x v="3"/>
    <x v="0"/>
    <x v="2"/>
    <x v="847"/>
    <s v="OWN"/>
    <n v="0.24"/>
    <n v="0.86"/>
    <n v="14725.52"/>
    <n v="11118.32"/>
    <n v="44388.372093023259"/>
    <n v="29"/>
    <n v="-12330.16"/>
  </r>
  <r>
    <s v="L0853"/>
    <x v="249"/>
    <s v="B0853"/>
    <x v="7"/>
    <x v="844"/>
    <n v="7.8"/>
    <n v="60"/>
    <x v="1"/>
    <x v="4"/>
    <x v="4"/>
    <x v="848"/>
    <s v="RENT"/>
    <n v="0.44"/>
    <n v="0.85"/>
    <n v="10999.75"/>
    <n v="0"/>
    <n v="30396.470588235294"/>
    <n v="60"/>
    <n v="-14837.25"/>
  </r>
  <r>
    <s v="L0854"/>
    <x v="598"/>
    <s v="B0854"/>
    <x v="0"/>
    <x v="845"/>
    <n v="10.1"/>
    <n v="36"/>
    <x v="1"/>
    <x v="5"/>
    <x v="4"/>
    <x v="849"/>
    <s v="OWN"/>
    <n v="0.19"/>
    <n v="0.6"/>
    <n v="8590.41"/>
    <n v="0"/>
    <n v="31376.666666666668"/>
    <n v="28"/>
    <n v="-10235.59"/>
  </r>
  <r>
    <s v="L0855"/>
    <x v="599"/>
    <s v="B0855"/>
    <x v="3"/>
    <x v="846"/>
    <n v="22.5"/>
    <n v="60"/>
    <x v="1"/>
    <x v="3"/>
    <x v="1"/>
    <x v="850"/>
    <s v="MORTGAGE"/>
    <n v="0.38"/>
    <n v="0.78"/>
    <n v="10820.79"/>
    <n v="0"/>
    <n v="33308.974358974359"/>
    <n v="37"/>
    <n v="-15160.21"/>
  </r>
  <r>
    <s v="L0856"/>
    <x v="600"/>
    <s v="B0856"/>
    <x v="5"/>
    <x v="847"/>
    <n v="8.6999999999999993"/>
    <n v="36"/>
    <x v="0"/>
    <x v="0"/>
    <x v="0"/>
    <x v="851"/>
    <s v="OWN"/>
    <n v="0.35"/>
    <n v="0.52"/>
    <n v="12372.23"/>
    <n v="0"/>
    <n v="21888.461538461539"/>
    <n v="35"/>
    <n v="990.22999999999956"/>
  </r>
  <r>
    <s v="L0857"/>
    <x v="574"/>
    <s v="B0857"/>
    <x v="4"/>
    <x v="848"/>
    <n v="10.6"/>
    <n v="36"/>
    <x v="0"/>
    <x v="0"/>
    <x v="3"/>
    <x v="852"/>
    <s v="MORTGAGE"/>
    <n v="0.45"/>
    <n v="0.72"/>
    <n v="6013.32"/>
    <n v="0"/>
    <n v="7551.3888888888896"/>
    <n v="48"/>
    <n v="576.31999999999971"/>
  </r>
  <r>
    <s v="L0858"/>
    <x v="601"/>
    <s v="B0858"/>
    <x v="2"/>
    <x v="849"/>
    <n v="7.6"/>
    <n v="60"/>
    <x v="0"/>
    <x v="0"/>
    <x v="2"/>
    <x v="853"/>
    <s v="RENT"/>
    <n v="0.15"/>
    <n v="0.51"/>
    <n v="6924.06"/>
    <n v="0"/>
    <n v="12617.64705882353"/>
    <n v="30"/>
    <n v="489.0600000000004"/>
  </r>
  <r>
    <s v="L0859"/>
    <x v="602"/>
    <s v="B0859"/>
    <x v="8"/>
    <x v="850"/>
    <n v="18.5"/>
    <n v="36"/>
    <x v="0"/>
    <x v="0"/>
    <x v="4"/>
    <x v="854"/>
    <s v="OWN"/>
    <n v="0.49"/>
    <n v="0.91"/>
    <n v="30595.52"/>
    <n v="0"/>
    <n v="28372.527472527472"/>
    <n v="35"/>
    <n v="4776.5200000000004"/>
  </r>
  <r>
    <s v="L0860"/>
    <x v="386"/>
    <s v="B0860"/>
    <x v="8"/>
    <x v="851"/>
    <n v="23.9"/>
    <n v="36"/>
    <x v="1"/>
    <x v="2"/>
    <x v="2"/>
    <x v="855"/>
    <s v="RENT"/>
    <n v="0.33"/>
    <n v="0.94"/>
    <n v="9719.5400000000009"/>
    <n v="0"/>
    <n v="40292.553191489365"/>
    <n v="28"/>
    <n v="-28155.46"/>
  </r>
  <r>
    <s v="L0861"/>
    <x v="603"/>
    <s v="B0861"/>
    <x v="4"/>
    <x v="852"/>
    <n v="10.4"/>
    <n v="36"/>
    <x v="1"/>
    <x v="1"/>
    <x v="3"/>
    <x v="856"/>
    <s v="MORTGAGE"/>
    <n v="0.5"/>
    <n v="0.6"/>
    <n v="5386.12"/>
    <n v="0"/>
    <n v="54970"/>
    <n v="43"/>
    <n v="-27595.88"/>
  </r>
  <r>
    <s v="L0862"/>
    <x v="604"/>
    <s v="B0862"/>
    <x v="0"/>
    <x v="853"/>
    <n v="14.5"/>
    <n v="36"/>
    <x v="3"/>
    <x v="1"/>
    <x v="2"/>
    <x v="857"/>
    <s v="RENT"/>
    <n v="0.46"/>
    <n v="0.59"/>
    <n v="7246.51"/>
    <n v="14471.77"/>
    <n v="58183.050847457627"/>
    <n v="50"/>
    <n v="-12609.720000000001"/>
  </r>
  <r>
    <s v="L0863"/>
    <x v="267"/>
    <s v="B0863"/>
    <x v="2"/>
    <x v="854"/>
    <n v="17.7"/>
    <n v="36"/>
    <x v="0"/>
    <x v="5"/>
    <x v="0"/>
    <x v="858"/>
    <s v="MORTGAGE"/>
    <n v="0.19"/>
    <n v="0.84"/>
    <n v="15688.23"/>
    <n v="0"/>
    <n v="15867.857142857143"/>
    <n v="31"/>
    <n v="2359.2299999999996"/>
  </r>
  <r>
    <s v="L0864"/>
    <x v="605"/>
    <s v="B0864"/>
    <x v="3"/>
    <x v="855"/>
    <n v="25"/>
    <n v="36"/>
    <x v="0"/>
    <x v="6"/>
    <x v="1"/>
    <x v="859"/>
    <s v="MORTGAGE"/>
    <n v="0.12"/>
    <n v="0.61"/>
    <n v="32711.25"/>
    <n v="0"/>
    <n v="42900"/>
    <n v="40"/>
    <n v="6542.25"/>
  </r>
  <r>
    <s v="L0865"/>
    <x v="606"/>
    <s v="B0865"/>
    <x v="6"/>
    <x v="856"/>
    <n v="7.1"/>
    <n v="60"/>
    <x v="0"/>
    <x v="0"/>
    <x v="2"/>
    <x v="860"/>
    <s v="MORTGAGE"/>
    <n v="0.2"/>
    <n v="0.9"/>
    <n v="24560.17"/>
    <n v="0"/>
    <n v="25480"/>
    <n v="30"/>
    <n v="1628.1699999999983"/>
  </r>
  <r>
    <s v="L0866"/>
    <x v="53"/>
    <s v="B0866"/>
    <x v="0"/>
    <x v="857"/>
    <n v="15"/>
    <n v="60"/>
    <x v="0"/>
    <x v="4"/>
    <x v="1"/>
    <x v="861"/>
    <s v="RENT"/>
    <n v="0.31"/>
    <n v="0.76"/>
    <n v="40933.1"/>
    <n v="0"/>
    <n v="46834.210526315786"/>
    <n v="55"/>
    <n v="5339.0999999999985"/>
  </r>
  <r>
    <s v="L0867"/>
    <x v="607"/>
    <s v="B0867"/>
    <x v="5"/>
    <x v="858"/>
    <n v="12.7"/>
    <n v="60"/>
    <x v="0"/>
    <x v="5"/>
    <x v="3"/>
    <x v="862"/>
    <s v="RENT"/>
    <n v="0.17"/>
    <n v="0.66"/>
    <n v="13998.47"/>
    <n v="0"/>
    <n v="18819.696969696968"/>
    <n v="52"/>
    <n v="1577.4699999999993"/>
  </r>
  <r>
    <s v="L0868"/>
    <x v="277"/>
    <s v="B0868"/>
    <x v="7"/>
    <x v="859"/>
    <n v="22.3"/>
    <n v="36"/>
    <x v="1"/>
    <x v="0"/>
    <x v="1"/>
    <x v="863"/>
    <s v="OWN"/>
    <n v="0.17"/>
    <n v="0.87"/>
    <n v="510.03"/>
    <n v="0"/>
    <n v="9918.3908045977005"/>
    <n v="58"/>
    <n v="-8118.97"/>
  </r>
  <r>
    <s v="L0869"/>
    <x v="608"/>
    <s v="B0869"/>
    <x v="9"/>
    <x v="860"/>
    <n v="14.5"/>
    <n v="60"/>
    <x v="0"/>
    <x v="4"/>
    <x v="2"/>
    <x v="864"/>
    <s v="OWN"/>
    <n v="0.28999999999999998"/>
    <n v="0.72"/>
    <n v="10677.12"/>
    <n v="0"/>
    <n v="12951.388888888889"/>
    <n v="31"/>
    <n v="1352.1200000000008"/>
  </r>
  <r>
    <s v="L0870"/>
    <x v="250"/>
    <s v="B0870"/>
    <x v="0"/>
    <x v="861"/>
    <n v="7.2"/>
    <n v="36"/>
    <x v="1"/>
    <x v="4"/>
    <x v="2"/>
    <x v="865"/>
    <s v="RENT"/>
    <n v="0.11"/>
    <n v="0.91"/>
    <n v="8429.58"/>
    <n v="0"/>
    <n v="32412.087912087911"/>
    <n v="43"/>
    <n v="-21065.42"/>
  </r>
  <r>
    <s v="L0871"/>
    <x v="609"/>
    <s v="B0871"/>
    <x v="9"/>
    <x v="862"/>
    <n v="17.7"/>
    <n v="36"/>
    <x v="0"/>
    <x v="0"/>
    <x v="4"/>
    <x v="866"/>
    <s v="RENT"/>
    <n v="0.15"/>
    <n v="0.92"/>
    <n v="38546.75"/>
    <n v="0"/>
    <n v="35597.82608695652"/>
    <n v="54"/>
    <n v="5796.75"/>
  </r>
  <r>
    <s v="L0872"/>
    <x v="513"/>
    <s v="B0872"/>
    <x v="0"/>
    <x v="863"/>
    <n v="20.399999999999999"/>
    <n v="36"/>
    <x v="3"/>
    <x v="0"/>
    <x v="2"/>
    <x v="867"/>
    <s v="RENT"/>
    <n v="0.27"/>
    <n v="0.56999999999999995"/>
    <n v="7701.21"/>
    <n v="8440.1"/>
    <n v="53717.543859649129"/>
    <n v="44"/>
    <n v="-14477.689999999999"/>
  </r>
  <r>
    <s v="L0873"/>
    <x v="451"/>
    <s v="B0873"/>
    <x v="4"/>
    <x v="864"/>
    <n v="5.0999999999999996"/>
    <n v="36"/>
    <x v="1"/>
    <x v="1"/>
    <x v="1"/>
    <x v="868"/>
    <s v="RENT"/>
    <n v="0.13"/>
    <n v="0.5"/>
    <n v="2652.86"/>
    <n v="0"/>
    <n v="18528"/>
    <n v="60"/>
    <n v="-6611.1399999999994"/>
  </r>
  <r>
    <s v="L0874"/>
    <x v="11"/>
    <s v="B0874"/>
    <x v="9"/>
    <x v="865"/>
    <n v="22.2"/>
    <n v="60"/>
    <x v="2"/>
    <x v="0"/>
    <x v="4"/>
    <x v="869"/>
    <s v="MORTGAGE"/>
    <n v="0.26"/>
    <n v="0.94"/>
    <n v="0"/>
    <n v="0"/>
    <n v="14559.574468085108"/>
    <n v="49"/>
    <n v="-13686"/>
  </r>
  <r>
    <s v="L0875"/>
    <x v="19"/>
    <s v="B0875"/>
    <x v="0"/>
    <x v="866"/>
    <n v="8.6999999999999993"/>
    <n v="36"/>
    <x v="3"/>
    <x v="2"/>
    <x v="2"/>
    <x v="870"/>
    <s v="MORTGAGE"/>
    <n v="0.28999999999999998"/>
    <n v="0.91"/>
    <n v="9893.8700000000008"/>
    <n v="7297.15"/>
    <n v="27720.879120879119"/>
    <n v="46"/>
    <n v="-8034.98"/>
  </r>
  <r>
    <s v="L0876"/>
    <x v="325"/>
    <s v="B0876"/>
    <x v="8"/>
    <x v="867"/>
    <n v="16"/>
    <n v="60"/>
    <x v="3"/>
    <x v="0"/>
    <x v="2"/>
    <x v="871"/>
    <s v="MORTGAGE"/>
    <n v="0.28000000000000003"/>
    <n v="0.52"/>
    <n v="2883.3"/>
    <n v="822.57"/>
    <n v="14848.076923076922"/>
    <n v="48"/>
    <n v="-4015.1299999999997"/>
  </r>
  <r>
    <s v="L0877"/>
    <x v="610"/>
    <s v="B0877"/>
    <x v="9"/>
    <x v="18"/>
    <n v="13.3"/>
    <n v="36"/>
    <x v="3"/>
    <x v="6"/>
    <x v="3"/>
    <x v="872"/>
    <s v="RENT"/>
    <n v="0.45"/>
    <n v="0.87"/>
    <n v="3209.24"/>
    <n v="5044.0600000000004"/>
    <n v="24837.931034482757"/>
    <n v="51"/>
    <n v="-13355.7"/>
  </r>
  <r>
    <s v="L0878"/>
    <x v="190"/>
    <s v="B0878"/>
    <x v="0"/>
    <x v="868"/>
    <n v="19.399999999999999"/>
    <n v="60"/>
    <x v="1"/>
    <x v="2"/>
    <x v="4"/>
    <x v="873"/>
    <s v="MORTGAGE"/>
    <n v="0.31"/>
    <n v="0.71"/>
    <n v="1808.54"/>
    <n v="0"/>
    <n v="11792.957746478874"/>
    <n v="41"/>
    <n v="-6564.46"/>
  </r>
  <r>
    <s v="L0879"/>
    <x v="611"/>
    <s v="B0879"/>
    <x v="6"/>
    <x v="869"/>
    <n v="12.4"/>
    <n v="60"/>
    <x v="0"/>
    <x v="2"/>
    <x v="3"/>
    <x v="874"/>
    <s v="MORTGAGE"/>
    <n v="0.28999999999999998"/>
    <n v="0.62"/>
    <n v="44594.7"/>
    <n v="0"/>
    <n v="63991.93548387097"/>
    <n v="31"/>
    <n v="4919.6999999999971"/>
  </r>
  <r>
    <s v="L0880"/>
    <x v="157"/>
    <s v="B0880"/>
    <x v="7"/>
    <x v="870"/>
    <n v="22.4"/>
    <n v="60"/>
    <x v="0"/>
    <x v="6"/>
    <x v="3"/>
    <x v="875"/>
    <s v="OWN"/>
    <n v="0.26"/>
    <n v="0.9"/>
    <n v="36642.89"/>
    <n v="0"/>
    <n v="33263.333333333336"/>
    <n v="31"/>
    <n v="6705.8899999999994"/>
  </r>
  <r>
    <s v="L0881"/>
    <x v="377"/>
    <s v="B0881"/>
    <x v="6"/>
    <x v="871"/>
    <n v="19.600000000000001"/>
    <n v="60"/>
    <x v="0"/>
    <x v="4"/>
    <x v="3"/>
    <x v="876"/>
    <s v="OWN"/>
    <n v="0.43"/>
    <n v="0.59"/>
    <n v="7960.58"/>
    <n v="0"/>
    <n v="11281.355932203391"/>
    <n v="33"/>
    <n v="1304.58"/>
  </r>
  <r>
    <s v="L0882"/>
    <x v="449"/>
    <s v="B0882"/>
    <x v="2"/>
    <x v="872"/>
    <n v="18"/>
    <n v="60"/>
    <x v="1"/>
    <x v="4"/>
    <x v="0"/>
    <x v="877"/>
    <s v="MORTGAGE"/>
    <n v="0.46"/>
    <n v="0.93"/>
    <n v="2403.9499999999998"/>
    <n v="0"/>
    <n v="10735.483870967741"/>
    <n v="37"/>
    <n v="-7580.05"/>
  </r>
  <r>
    <s v="L0883"/>
    <x v="131"/>
    <s v="B0883"/>
    <x v="0"/>
    <x v="873"/>
    <n v="20.9"/>
    <n v="60"/>
    <x v="0"/>
    <x v="4"/>
    <x v="3"/>
    <x v="878"/>
    <s v="MORTGAGE"/>
    <n v="0.44"/>
    <n v="0.59"/>
    <n v="37459.660000000003"/>
    <n v="0"/>
    <n v="52515.254237288136"/>
    <n v="40"/>
    <n v="6475.6600000000035"/>
  </r>
  <r>
    <s v="L0884"/>
    <x v="515"/>
    <s v="B0884"/>
    <x v="1"/>
    <x v="874"/>
    <n v="20.100000000000001"/>
    <n v="36"/>
    <x v="3"/>
    <x v="0"/>
    <x v="1"/>
    <x v="879"/>
    <s v="MORTGAGE"/>
    <n v="0.37"/>
    <n v="0.78"/>
    <n v="1932.97"/>
    <n v="2167.4899999999998"/>
    <n v="11905.128205128205"/>
    <n v="61"/>
    <n v="-5185.54"/>
  </r>
  <r>
    <s v="L0885"/>
    <x v="128"/>
    <s v="B0885"/>
    <x v="5"/>
    <x v="875"/>
    <n v="5.7"/>
    <n v="60"/>
    <x v="2"/>
    <x v="0"/>
    <x v="2"/>
    <x v="880"/>
    <s v="RENT"/>
    <n v="0.15"/>
    <n v="0.6"/>
    <n v="0"/>
    <n v="0"/>
    <n v="11501.666666666668"/>
    <n v="39"/>
    <n v="-6901"/>
  </r>
  <r>
    <s v="L0886"/>
    <x v="345"/>
    <s v="B0886"/>
    <x v="6"/>
    <x v="876"/>
    <n v="12.9"/>
    <n v="36"/>
    <x v="0"/>
    <x v="6"/>
    <x v="0"/>
    <x v="881"/>
    <s v="OWN"/>
    <n v="0.21"/>
    <n v="0.75"/>
    <n v="36751.21"/>
    <n v="0"/>
    <n v="43402.666666666664"/>
    <n v="56"/>
    <n v="4199.2099999999991"/>
  </r>
  <r>
    <s v="L0887"/>
    <x v="316"/>
    <s v="B0887"/>
    <x v="9"/>
    <x v="877"/>
    <n v="23.6"/>
    <n v="60"/>
    <x v="0"/>
    <x v="5"/>
    <x v="3"/>
    <x v="882"/>
    <s v="OWN"/>
    <n v="0.12"/>
    <n v="0.81"/>
    <n v="33012.32"/>
    <n v="0"/>
    <n v="32974.074074074073"/>
    <n v="53"/>
    <n v="6303.32"/>
  </r>
  <r>
    <s v="L0888"/>
    <x v="428"/>
    <s v="B0888"/>
    <x v="4"/>
    <x v="878"/>
    <n v="7.5"/>
    <n v="36"/>
    <x v="2"/>
    <x v="5"/>
    <x v="2"/>
    <x v="883"/>
    <s v="OWN"/>
    <n v="0.47"/>
    <n v="0.59"/>
    <n v="0"/>
    <n v="0"/>
    <n v="54330.508474576272"/>
    <n v="60"/>
    <n v="-32055"/>
  </r>
  <r>
    <s v="L0889"/>
    <x v="256"/>
    <s v="B0889"/>
    <x v="5"/>
    <x v="879"/>
    <n v="19.7"/>
    <n v="60"/>
    <x v="0"/>
    <x v="2"/>
    <x v="4"/>
    <x v="884"/>
    <s v="MORTGAGE"/>
    <n v="0.36"/>
    <n v="0.73"/>
    <n v="46305.94"/>
    <n v="0"/>
    <n v="52993.150684931505"/>
    <n v="29"/>
    <n v="7620.9400000000023"/>
  </r>
  <r>
    <s v="L0890"/>
    <x v="523"/>
    <s v="B0890"/>
    <x v="1"/>
    <x v="880"/>
    <n v="24.5"/>
    <n v="60"/>
    <x v="1"/>
    <x v="1"/>
    <x v="4"/>
    <x v="885"/>
    <s v="RENT"/>
    <n v="0.4"/>
    <n v="0.71"/>
    <n v="3859.51"/>
    <n v="0"/>
    <n v="13280.281690140846"/>
    <n v="40"/>
    <n v="-5569.49"/>
  </r>
  <r>
    <s v="L0891"/>
    <x v="507"/>
    <s v="B0891"/>
    <x v="3"/>
    <x v="881"/>
    <n v="6"/>
    <n v="36"/>
    <x v="0"/>
    <x v="1"/>
    <x v="2"/>
    <x v="886"/>
    <s v="OWN"/>
    <n v="0.22"/>
    <n v="0.53"/>
    <n v="16658.96"/>
    <n v="0"/>
    <n v="29652.830188679243"/>
    <n v="40"/>
    <n v="942.95999999999913"/>
  </r>
  <r>
    <s v="L0892"/>
    <x v="612"/>
    <s v="B0892"/>
    <x v="0"/>
    <x v="882"/>
    <n v="18.600000000000001"/>
    <n v="60"/>
    <x v="1"/>
    <x v="6"/>
    <x v="1"/>
    <x v="887"/>
    <s v="OWN"/>
    <n v="0.44"/>
    <n v="0.87"/>
    <n v="3469.25"/>
    <n v="0"/>
    <n v="13951.724137931034"/>
    <n v="57"/>
    <n v="-8668.75"/>
  </r>
  <r>
    <s v="L0893"/>
    <x v="206"/>
    <s v="B0893"/>
    <x v="4"/>
    <x v="883"/>
    <n v="14.4"/>
    <n v="60"/>
    <x v="0"/>
    <x v="0"/>
    <x v="2"/>
    <x v="888"/>
    <s v="RENT"/>
    <n v="0.2"/>
    <n v="0.65"/>
    <n v="41524.910000000003"/>
    <n v="0"/>
    <n v="55843.076923076922"/>
    <n v="27"/>
    <n v="5226.9100000000035"/>
  </r>
  <r>
    <s v="L0894"/>
    <x v="613"/>
    <s v="B0894"/>
    <x v="0"/>
    <x v="884"/>
    <n v="16.600000000000001"/>
    <n v="60"/>
    <x v="3"/>
    <x v="4"/>
    <x v="2"/>
    <x v="889"/>
    <s v="MORTGAGE"/>
    <n v="0.1"/>
    <n v="0.76"/>
    <n v="6635.65"/>
    <n v="6328.17"/>
    <n v="32143.42105263158"/>
    <n v="30"/>
    <n v="-11465.18"/>
  </r>
  <r>
    <s v="L0895"/>
    <x v="321"/>
    <s v="B0895"/>
    <x v="2"/>
    <x v="885"/>
    <n v="6.7"/>
    <n v="36"/>
    <x v="1"/>
    <x v="3"/>
    <x v="0"/>
    <x v="890"/>
    <s v="MORTGAGE"/>
    <n v="0.25"/>
    <n v="0.73"/>
    <n v="2938.07"/>
    <n v="0"/>
    <n v="9276.7123287671238"/>
    <n v="34"/>
    <n v="-3833.93"/>
  </r>
  <r>
    <s v="L0896"/>
    <x v="430"/>
    <s v="B0896"/>
    <x v="1"/>
    <x v="886"/>
    <n v="5.9"/>
    <n v="60"/>
    <x v="0"/>
    <x v="2"/>
    <x v="4"/>
    <x v="891"/>
    <s v="OWN"/>
    <n v="0.33"/>
    <n v="0.73"/>
    <n v="38899.19"/>
    <n v="0"/>
    <n v="50317.808219178085"/>
    <n v="39"/>
    <n v="2167.1900000000023"/>
  </r>
  <r>
    <s v="L0897"/>
    <x v="614"/>
    <s v="B0897"/>
    <x v="0"/>
    <x v="887"/>
    <n v="18.3"/>
    <n v="36"/>
    <x v="0"/>
    <x v="2"/>
    <x v="4"/>
    <x v="892"/>
    <s v="OWN"/>
    <n v="0.28999999999999998"/>
    <n v="0.55000000000000004"/>
    <n v="21704.5"/>
    <n v="0"/>
    <n v="33358.181818181816"/>
    <n v="57"/>
    <n v="3357.5"/>
  </r>
  <r>
    <s v="L0898"/>
    <x v="615"/>
    <s v="B0898"/>
    <x v="9"/>
    <x v="888"/>
    <n v="21.5"/>
    <n v="60"/>
    <x v="0"/>
    <x v="5"/>
    <x v="3"/>
    <x v="893"/>
    <s v="RENT"/>
    <n v="0.44"/>
    <n v="0.69"/>
    <n v="21772.799999999999"/>
    <n v="0"/>
    <n v="25971.014492753624"/>
    <n v="51"/>
    <n v="3852.7999999999993"/>
  </r>
  <r>
    <s v="L0899"/>
    <x v="383"/>
    <s v="B0899"/>
    <x v="2"/>
    <x v="889"/>
    <n v="20.6"/>
    <n v="60"/>
    <x v="2"/>
    <x v="6"/>
    <x v="2"/>
    <x v="894"/>
    <s v="OWN"/>
    <n v="0.14000000000000001"/>
    <n v="0.7"/>
    <n v="0"/>
    <n v="0"/>
    <n v="46888.571428571435"/>
    <n v="46"/>
    <n v="-32822"/>
  </r>
  <r>
    <s v="L0900"/>
    <x v="75"/>
    <s v="B0900"/>
    <x v="8"/>
    <x v="890"/>
    <n v="15.9"/>
    <n v="36"/>
    <x v="1"/>
    <x v="0"/>
    <x v="2"/>
    <x v="895"/>
    <s v="RENT"/>
    <n v="0.32"/>
    <n v="0.83"/>
    <n v="10136.36"/>
    <n v="0"/>
    <n v="29593.975903614461"/>
    <n v="26"/>
    <n v="-14426.64"/>
  </r>
  <r>
    <s v="L0901"/>
    <x v="616"/>
    <s v="B0901"/>
    <x v="3"/>
    <x v="891"/>
    <n v="7"/>
    <n v="60"/>
    <x v="0"/>
    <x v="0"/>
    <x v="1"/>
    <x v="896"/>
    <s v="OWN"/>
    <n v="0.31"/>
    <n v="0.88"/>
    <n v="9594.69"/>
    <n v="0"/>
    <n v="10189.772727272728"/>
    <n v="44"/>
    <n v="627.69000000000051"/>
  </r>
  <r>
    <s v="L0902"/>
    <x v="617"/>
    <s v="B0902"/>
    <x v="1"/>
    <x v="892"/>
    <n v="18.8"/>
    <n v="60"/>
    <x v="0"/>
    <x v="4"/>
    <x v="4"/>
    <x v="897"/>
    <s v="OWN"/>
    <n v="0.21"/>
    <n v="0.75"/>
    <n v="15290.75"/>
    <n v="0"/>
    <n v="17161.333333333332"/>
    <n v="51"/>
    <n v="2419.75"/>
  </r>
  <r>
    <s v="L0903"/>
    <x v="448"/>
    <s v="B0903"/>
    <x v="7"/>
    <x v="893"/>
    <n v="9.8000000000000007"/>
    <n v="36"/>
    <x v="0"/>
    <x v="5"/>
    <x v="1"/>
    <x v="898"/>
    <s v="OWN"/>
    <n v="0.43"/>
    <n v="0.54"/>
    <n v="32679.77"/>
    <n v="0"/>
    <n v="55116.666666666664"/>
    <n v="30"/>
    <n v="2916.7700000000004"/>
  </r>
  <r>
    <s v="L0904"/>
    <x v="618"/>
    <s v="B0904"/>
    <x v="4"/>
    <x v="894"/>
    <n v="23.2"/>
    <n v="60"/>
    <x v="1"/>
    <x v="4"/>
    <x v="0"/>
    <x v="899"/>
    <s v="MORTGAGE"/>
    <n v="0.4"/>
    <n v="0.61"/>
    <n v="1414.24"/>
    <n v="0"/>
    <n v="21173.77049180328"/>
    <n v="55"/>
    <n v="-11501.76"/>
  </r>
  <r>
    <s v="L0905"/>
    <x v="452"/>
    <s v="B0905"/>
    <x v="6"/>
    <x v="895"/>
    <n v="21.8"/>
    <n v="36"/>
    <x v="1"/>
    <x v="4"/>
    <x v="3"/>
    <x v="900"/>
    <s v="RENT"/>
    <n v="0.39"/>
    <n v="0.56999999999999995"/>
    <n v="3613.86"/>
    <n v="0"/>
    <n v="17077.192982456141"/>
    <n v="48"/>
    <n v="-6120.1399999999994"/>
  </r>
  <r>
    <s v="L0906"/>
    <x v="133"/>
    <s v="B0906"/>
    <x v="0"/>
    <x v="896"/>
    <n v="19.2"/>
    <n v="36"/>
    <x v="0"/>
    <x v="0"/>
    <x v="1"/>
    <x v="901"/>
    <s v="RENT"/>
    <n v="0.45"/>
    <n v="0.56000000000000005"/>
    <n v="41258.699999999997"/>
    <n v="0"/>
    <n v="61808.928571428565"/>
    <n v="31"/>
    <n v="6645.6999999999971"/>
  </r>
  <r>
    <s v="L0907"/>
    <x v="619"/>
    <s v="B0907"/>
    <x v="4"/>
    <x v="897"/>
    <n v="24"/>
    <n v="36"/>
    <x v="1"/>
    <x v="5"/>
    <x v="4"/>
    <x v="902"/>
    <s v="MORTGAGE"/>
    <n v="0.39"/>
    <n v="0.66"/>
    <n v="7176.47"/>
    <n v="0"/>
    <n v="44210.606060606056"/>
    <n v="38"/>
    <n v="-22002.53"/>
  </r>
  <r>
    <s v="L0908"/>
    <x v="620"/>
    <s v="B0908"/>
    <x v="4"/>
    <x v="898"/>
    <n v="5.6"/>
    <n v="60"/>
    <x v="1"/>
    <x v="6"/>
    <x v="0"/>
    <x v="903"/>
    <s v="MORTGAGE"/>
    <n v="0.19"/>
    <n v="0.6"/>
    <n v="6621.15"/>
    <n v="0"/>
    <n v="60436.666666666672"/>
    <n v="61"/>
    <n v="-29640.85"/>
  </r>
  <r>
    <s v="L0909"/>
    <x v="621"/>
    <s v="B0909"/>
    <x v="7"/>
    <x v="899"/>
    <n v="19.7"/>
    <n v="36"/>
    <x v="2"/>
    <x v="1"/>
    <x v="2"/>
    <x v="904"/>
    <s v="MORTGAGE"/>
    <n v="0.38"/>
    <n v="0.6"/>
    <n v="0"/>
    <n v="0"/>
    <n v="22795"/>
    <n v="40"/>
    <n v="-13677"/>
  </r>
  <r>
    <s v="L0910"/>
    <x v="316"/>
    <s v="B0910"/>
    <x v="7"/>
    <x v="900"/>
    <n v="11.6"/>
    <n v="36"/>
    <x v="3"/>
    <x v="0"/>
    <x v="0"/>
    <x v="905"/>
    <s v="RENT"/>
    <n v="0.22"/>
    <n v="0.52"/>
    <n v="2215.9299999999998"/>
    <n v="9626.5400000000009"/>
    <n v="37053.846153846156"/>
    <n v="53"/>
    <n v="-7425.5299999999988"/>
  </r>
  <r>
    <s v="L0911"/>
    <x v="622"/>
    <s v="B0911"/>
    <x v="2"/>
    <x v="901"/>
    <n v="23.1"/>
    <n v="60"/>
    <x v="1"/>
    <x v="5"/>
    <x v="1"/>
    <x v="906"/>
    <s v="OWN"/>
    <n v="0.2"/>
    <n v="0.51"/>
    <n v="3589.27"/>
    <n v="0"/>
    <n v="26137.254901960783"/>
    <n v="48"/>
    <n v="-9740.73"/>
  </r>
  <r>
    <s v="L0912"/>
    <x v="623"/>
    <s v="B0912"/>
    <x v="1"/>
    <x v="902"/>
    <n v="10.3"/>
    <n v="36"/>
    <x v="1"/>
    <x v="1"/>
    <x v="4"/>
    <x v="907"/>
    <s v="MORTGAGE"/>
    <n v="0.13"/>
    <n v="0.55000000000000004"/>
    <n v="4562.7700000000004"/>
    <n v="0"/>
    <n v="39514.545454545449"/>
    <n v="53"/>
    <n v="-17170.23"/>
  </r>
  <r>
    <s v="L0913"/>
    <x v="344"/>
    <s v="B0913"/>
    <x v="9"/>
    <x v="903"/>
    <n v="19.5"/>
    <n v="60"/>
    <x v="0"/>
    <x v="5"/>
    <x v="1"/>
    <x v="908"/>
    <s v="MORTGAGE"/>
    <n v="0.4"/>
    <n v="0.57999999999999996"/>
    <n v="46541.66"/>
    <n v="0"/>
    <n v="67150"/>
    <n v="28"/>
    <n v="7594.6600000000035"/>
  </r>
  <r>
    <s v="L0914"/>
    <x v="221"/>
    <s v="B0914"/>
    <x v="3"/>
    <x v="904"/>
    <n v="22.6"/>
    <n v="60"/>
    <x v="1"/>
    <x v="4"/>
    <x v="2"/>
    <x v="909"/>
    <s v="MORTGAGE"/>
    <n v="0.38"/>
    <n v="0.69"/>
    <n v="4615.7299999999996"/>
    <n v="0"/>
    <n v="40994.202898550728"/>
    <n v="62"/>
    <n v="-23670.27"/>
  </r>
  <r>
    <s v="L0915"/>
    <x v="304"/>
    <s v="B0915"/>
    <x v="7"/>
    <x v="905"/>
    <n v="5.8"/>
    <n v="60"/>
    <x v="0"/>
    <x v="5"/>
    <x v="2"/>
    <x v="910"/>
    <s v="OWN"/>
    <n v="0.19"/>
    <n v="0.73"/>
    <n v="8051.38"/>
    <n v="0"/>
    <n v="10424.657534246575"/>
    <n v="37"/>
    <n v="441.38000000000011"/>
  </r>
  <r>
    <s v="L0916"/>
    <x v="624"/>
    <s v="B0916"/>
    <x v="7"/>
    <x v="906"/>
    <n v="13"/>
    <n v="60"/>
    <x v="0"/>
    <x v="3"/>
    <x v="4"/>
    <x v="911"/>
    <s v="OWN"/>
    <n v="0.4"/>
    <n v="0.56000000000000005"/>
    <n v="8395.9"/>
    <n v="0"/>
    <n v="13267.857142857141"/>
    <n v="43"/>
    <n v="965.89999999999964"/>
  </r>
  <r>
    <s v="L0917"/>
    <x v="625"/>
    <s v="B0917"/>
    <x v="6"/>
    <x v="907"/>
    <n v="20.2"/>
    <n v="36"/>
    <x v="0"/>
    <x v="0"/>
    <x v="3"/>
    <x v="912"/>
    <s v="MORTGAGE"/>
    <n v="0.47"/>
    <n v="0.69"/>
    <n v="17823.259999999998"/>
    <n v="0"/>
    <n v="21489.855072463768"/>
    <n v="29"/>
    <n v="2995.2599999999984"/>
  </r>
  <r>
    <s v="L0918"/>
    <x v="537"/>
    <s v="B0918"/>
    <x v="8"/>
    <x v="908"/>
    <n v="14.1"/>
    <n v="36"/>
    <x v="1"/>
    <x v="4"/>
    <x v="0"/>
    <x v="913"/>
    <s v="OWN"/>
    <n v="0.14000000000000001"/>
    <n v="0.65"/>
    <n v="11783.49"/>
    <n v="0"/>
    <n v="49995.384615384617"/>
    <n v="56"/>
    <n v="-20713.510000000002"/>
  </r>
  <r>
    <s v="L0919"/>
    <x v="412"/>
    <s v="B0919"/>
    <x v="7"/>
    <x v="909"/>
    <n v="10.3"/>
    <n v="36"/>
    <x v="0"/>
    <x v="4"/>
    <x v="0"/>
    <x v="914"/>
    <s v="MORTGAGE"/>
    <n v="0.19"/>
    <n v="0.57999999999999996"/>
    <n v="41492.65"/>
    <n v="0"/>
    <n v="64858.620689655174"/>
    <n v="46"/>
    <n v="3874.6500000000015"/>
  </r>
  <r>
    <s v="L0920"/>
    <x v="626"/>
    <s v="B0920"/>
    <x v="8"/>
    <x v="910"/>
    <n v="9.4"/>
    <n v="36"/>
    <x v="0"/>
    <x v="5"/>
    <x v="2"/>
    <x v="915"/>
    <s v="OWN"/>
    <n v="0.4"/>
    <n v="0.5"/>
    <n v="30113.439999999999"/>
    <n v="0"/>
    <n v="55052"/>
    <n v="30"/>
    <n v="2587.4399999999987"/>
  </r>
  <r>
    <s v="L0921"/>
    <x v="627"/>
    <s v="B0921"/>
    <x v="2"/>
    <x v="911"/>
    <n v="7.6"/>
    <n v="36"/>
    <x v="0"/>
    <x v="0"/>
    <x v="1"/>
    <x v="916"/>
    <s v="RENT"/>
    <n v="0.21"/>
    <n v="0.71"/>
    <n v="33526.01"/>
    <n v="0"/>
    <n v="43884.507042253521"/>
    <n v="58"/>
    <n v="2368.010000000002"/>
  </r>
  <r>
    <s v="L0922"/>
    <x v="535"/>
    <s v="B0922"/>
    <x v="9"/>
    <x v="912"/>
    <n v="22.1"/>
    <n v="60"/>
    <x v="0"/>
    <x v="0"/>
    <x v="1"/>
    <x v="917"/>
    <s v="RENT"/>
    <n v="0.35"/>
    <n v="0.81"/>
    <n v="31785.07"/>
    <n v="0"/>
    <n v="32138.271604938269"/>
    <n v="31"/>
    <n v="5753.07"/>
  </r>
  <r>
    <s v="L0923"/>
    <x v="274"/>
    <s v="B0923"/>
    <x v="4"/>
    <x v="913"/>
    <n v="16.5"/>
    <n v="36"/>
    <x v="0"/>
    <x v="4"/>
    <x v="3"/>
    <x v="918"/>
    <s v="OWN"/>
    <n v="0.13"/>
    <n v="0.6"/>
    <n v="45255.59"/>
    <n v="0"/>
    <n v="64743.333333333336"/>
    <n v="35"/>
    <n v="6409.5899999999965"/>
  </r>
  <r>
    <s v="L0924"/>
    <x v="415"/>
    <s v="B0924"/>
    <x v="7"/>
    <x v="914"/>
    <n v="6.5"/>
    <n v="36"/>
    <x v="1"/>
    <x v="2"/>
    <x v="1"/>
    <x v="919"/>
    <s v="RENT"/>
    <n v="0.28000000000000003"/>
    <n v="0.56000000000000005"/>
    <n v="12202.69"/>
    <n v="0"/>
    <n v="54989.28571428571"/>
    <n v="32"/>
    <n v="-18591.309999999998"/>
  </r>
  <r>
    <s v="L0925"/>
    <x v="628"/>
    <s v="B0925"/>
    <x v="0"/>
    <x v="915"/>
    <n v="12.7"/>
    <n v="36"/>
    <x v="1"/>
    <x v="1"/>
    <x v="0"/>
    <x v="920"/>
    <s v="RENT"/>
    <n v="0.4"/>
    <n v="0.9"/>
    <n v="1032.68"/>
    <n v="0"/>
    <n v="7164.4444444444443"/>
    <n v="60"/>
    <n v="-5415.32"/>
  </r>
  <r>
    <s v="L0926"/>
    <x v="563"/>
    <s v="B0926"/>
    <x v="8"/>
    <x v="916"/>
    <n v="12.4"/>
    <n v="60"/>
    <x v="0"/>
    <x v="1"/>
    <x v="1"/>
    <x v="921"/>
    <s v="RENT"/>
    <n v="0.37"/>
    <n v="0.62"/>
    <n v="33563.760000000002"/>
    <n v="0"/>
    <n v="48162.903225806454"/>
    <n v="36"/>
    <n v="3702.760000000002"/>
  </r>
  <r>
    <s v="L0927"/>
    <x v="629"/>
    <s v="B0927"/>
    <x v="6"/>
    <x v="917"/>
    <n v="8.6"/>
    <n v="60"/>
    <x v="3"/>
    <x v="6"/>
    <x v="3"/>
    <x v="922"/>
    <s v="MORTGAGE"/>
    <n v="0.43"/>
    <n v="0.6"/>
    <n v="3346.38"/>
    <n v="13855.54"/>
    <n v="48568.333333333336"/>
    <n v="37"/>
    <n v="-11939.079999999998"/>
  </r>
  <r>
    <s v="L0928"/>
    <x v="52"/>
    <s v="B0928"/>
    <x v="3"/>
    <x v="918"/>
    <n v="13.7"/>
    <n v="36"/>
    <x v="1"/>
    <x v="0"/>
    <x v="0"/>
    <x v="923"/>
    <s v="OWN"/>
    <n v="0.45"/>
    <n v="0.89"/>
    <n v="4351.3500000000004"/>
    <n v="0"/>
    <n v="11319.101123595505"/>
    <n v="57"/>
    <n v="-5722.65"/>
  </r>
  <r>
    <s v="L0929"/>
    <x v="630"/>
    <s v="B0929"/>
    <x v="6"/>
    <x v="919"/>
    <n v="11.6"/>
    <n v="60"/>
    <x v="0"/>
    <x v="6"/>
    <x v="1"/>
    <x v="924"/>
    <s v="OWN"/>
    <n v="0.41"/>
    <n v="0.87"/>
    <n v="8265.1"/>
    <n v="0"/>
    <n v="8512.6436781609191"/>
    <n v="59"/>
    <n v="859.10000000000036"/>
  </r>
  <r>
    <s v="L0930"/>
    <x v="628"/>
    <s v="B0930"/>
    <x v="7"/>
    <x v="920"/>
    <n v="11.8"/>
    <n v="36"/>
    <x v="1"/>
    <x v="5"/>
    <x v="0"/>
    <x v="925"/>
    <s v="OWN"/>
    <n v="0.37"/>
    <n v="0.7"/>
    <n v="1788.26"/>
    <n v="0"/>
    <n v="46890"/>
    <n v="60"/>
    <n v="-31034.74"/>
  </r>
  <r>
    <s v="L0931"/>
    <x v="406"/>
    <s v="B0931"/>
    <x v="1"/>
    <x v="921"/>
    <n v="19.8"/>
    <n v="36"/>
    <x v="2"/>
    <x v="4"/>
    <x v="2"/>
    <x v="926"/>
    <s v="RENT"/>
    <n v="0.11"/>
    <n v="0.72"/>
    <n v="0"/>
    <n v="0"/>
    <n v="33737.5"/>
    <n v="28"/>
    <n v="-24291"/>
  </r>
  <r>
    <s v="L0932"/>
    <x v="631"/>
    <s v="B0932"/>
    <x v="4"/>
    <x v="922"/>
    <n v="9.5"/>
    <n v="60"/>
    <x v="0"/>
    <x v="6"/>
    <x v="2"/>
    <x v="927"/>
    <s v="MORTGAGE"/>
    <n v="0.31"/>
    <n v="0.6"/>
    <n v="36138.28"/>
    <n v="0"/>
    <n v="55005"/>
    <n v="35"/>
    <n v="3135.2799999999988"/>
  </r>
  <r>
    <s v="L0933"/>
    <x v="607"/>
    <s v="B0933"/>
    <x v="9"/>
    <x v="923"/>
    <n v="17.8"/>
    <n v="60"/>
    <x v="0"/>
    <x v="6"/>
    <x v="2"/>
    <x v="928"/>
    <s v="OWN"/>
    <n v="0.12"/>
    <n v="0.54"/>
    <n v="41708.269999999997"/>
    <n v="0"/>
    <n v="65566.666666666657"/>
    <n v="52"/>
    <n v="6302.2699999999968"/>
  </r>
  <r>
    <s v="L0934"/>
    <x v="232"/>
    <s v="B0934"/>
    <x v="0"/>
    <x v="924"/>
    <n v="16.399999999999999"/>
    <n v="36"/>
    <x v="3"/>
    <x v="6"/>
    <x v="1"/>
    <x v="929"/>
    <s v="RENT"/>
    <n v="0.42"/>
    <n v="0.76"/>
    <n v="9266.1200000000008"/>
    <n v="2516.62"/>
    <n v="31989.473684210527"/>
    <n v="37"/>
    <n v="-12529.259999999998"/>
  </r>
  <r>
    <s v="L0935"/>
    <x v="632"/>
    <s v="B0935"/>
    <x v="1"/>
    <x v="925"/>
    <n v="16.399999999999999"/>
    <n v="36"/>
    <x v="1"/>
    <x v="0"/>
    <x v="3"/>
    <x v="930"/>
    <s v="MORTGAGE"/>
    <n v="0.23"/>
    <n v="0.54"/>
    <n v="791.85"/>
    <n v="0"/>
    <n v="4411.1111111111104"/>
    <n v="48"/>
    <n v="-1590.15"/>
  </r>
  <r>
    <s v="L0936"/>
    <x v="633"/>
    <s v="B0936"/>
    <x v="6"/>
    <x v="926"/>
    <n v="18.3"/>
    <n v="60"/>
    <x v="0"/>
    <x v="3"/>
    <x v="0"/>
    <x v="931"/>
    <s v="MORTGAGE"/>
    <n v="0.32"/>
    <n v="0.7"/>
    <n v="41607.29"/>
    <n v="0"/>
    <n v="50244.285714285717"/>
    <n v="51"/>
    <n v="6436.2900000000009"/>
  </r>
  <r>
    <s v="L0937"/>
    <x v="255"/>
    <s v="B0937"/>
    <x v="8"/>
    <x v="927"/>
    <n v="16"/>
    <n v="36"/>
    <x v="1"/>
    <x v="2"/>
    <x v="4"/>
    <x v="932"/>
    <s v="OWN"/>
    <n v="0.21"/>
    <n v="0.92"/>
    <n v="836.21"/>
    <n v="0"/>
    <n v="4665.217391304348"/>
    <n v="27"/>
    <n v="-3455.79"/>
  </r>
  <r>
    <s v="L0938"/>
    <x v="331"/>
    <s v="B0938"/>
    <x v="8"/>
    <x v="928"/>
    <n v="22.6"/>
    <n v="60"/>
    <x v="0"/>
    <x v="4"/>
    <x v="2"/>
    <x v="933"/>
    <s v="OWN"/>
    <n v="0.41"/>
    <n v="0.93"/>
    <n v="41913.26"/>
    <n v="0"/>
    <n v="36760.215053763437"/>
    <n v="37"/>
    <n v="7726.260000000002"/>
  </r>
  <r>
    <s v="L0939"/>
    <x v="569"/>
    <s v="B0939"/>
    <x v="1"/>
    <x v="929"/>
    <n v="18.5"/>
    <n v="36"/>
    <x v="3"/>
    <x v="0"/>
    <x v="2"/>
    <x v="934"/>
    <s v="RENT"/>
    <n v="0.45"/>
    <n v="0.61"/>
    <n v="2332.75"/>
    <n v="2064.9299999999998"/>
    <n v="21985.245901639344"/>
    <n v="43"/>
    <n v="-9013.32"/>
  </r>
  <r>
    <s v="L0940"/>
    <x v="481"/>
    <s v="B0940"/>
    <x v="8"/>
    <x v="930"/>
    <n v="15.9"/>
    <n v="60"/>
    <x v="0"/>
    <x v="0"/>
    <x v="4"/>
    <x v="935"/>
    <s v="OWN"/>
    <n v="0.26"/>
    <n v="0.78"/>
    <n v="44372.32"/>
    <n v="0"/>
    <n v="49083.333333333328"/>
    <n v="27"/>
    <n v="6087.32"/>
  </r>
  <r>
    <s v="L0941"/>
    <x v="567"/>
    <s v="B0941"/>
    <x v="6"/>
    <x v="931"/>
    <n v="21.6"/>
    <n v="36"/>
    <x v="0"/>
    <x v="3"/>
    <x v="4"/>
    <x v="936"/>
    <s v="RENT"/>
    <n v="0.45"/>
    <n v="0.71"/>
    <n v="19969.150000000001"/>
    <n v="0"/>
    <n v="23129.577464788734"/>
    <n v="29"/>
    <n v="3547.1500000000015"/>
  </r>
  <r>
    <s v="L0942"/>
    <x v="113"/>
    <s v="B0942"/>
    <x v="1"/>
    <x v="932"/>
    <n v="17.100000000000001"/>
    <n v="36"/>
    <x v="1"/>
    <x v="5"/>
    <x v="1"/>
    <x v="937"/>
    <s v="MORTGAGE"/>
    <n v="0.21"/>
    <n v="0.89"/>
    <n v="1803.79"/>
    <n v="0"/>
    <n v="37495.505617977527"/>
    <n v="59"/>
    <n v="-31567.21"/>
  </r>
  <r>
    <s v="L0943"/>
    <x v="600"/>
    <s v="B0943"/>
    <x v="6"/>
    <x v="933"/>
    <n v="10.8"/>
    <n v="60"/>
    <x v="0"/>
    <x v="4"/>
    <x v="0"/>
    <x v="938"/>
    <s v="MORTGAGE"/>
    <n v="0.31"/>
    <n v="0.62"/>
    <n v="7415.84"/>
    <n v="0"/>
    <n v="10795.161290322581"/>
    <n v="35"/>
    <n v="722.84000000000015"/>
  </r>
  <r>
    <s v="L0944"/>
    <x v="634"/>
    <s v="B0944"/>
    <x v="0"/>
    <x v="934"/>
    <n v="9.1"/>
    <n v="36"/>
    <x v="0"/>
    <x v="4"/>
    <x v="2"/>
    <x v="939"/>
    <s v="MORTGAGE"/>
    <n v="0.44"/>
    <n v="0.5"/>
    <n v="37677.68"/>
    <n v="0"/>
    <n v="69070"/>
    <n v="46"/>
    <n v="3142.6800000000003"/>
  </r>
  <r>
    <s v="L0945"/>
    <x v="635"/>
    <s v="B0945"/>
    <x v="4"/>
    <x v="935"/>
    <n v="8"/>
    <n v="36"/>
    <x v="1"/>
    <x v="4"/>
    <x v="3"/>
    <x v="940"/>
    <s v="MORTGAGE"/>
    <n v="0.23"/>
    <n v="0.56999999999999995"/>
    <n v="2467.0100000000002"/>
    <n v="0"/>
    <n v="27750.877192982458"/>
    <n v="47"/>
    <n v="-13350.99"/>
  </r>
  <r>
    <s v="L0946"/>
    <x v="636"/>
    <s v="B0946"/>
    <x v="3"/>
    <x v="936"/>
    <n v="23"/>
    <n v="60"/>
    <x v="1"/>
    <x v="1"/>
    <x v="1"/>
    <x v="941"/>
    <s v="OWN"/>
    <n v="0.48"/>
    <n v="0.66"/>
    <n v="3609.94"/>
    <n v="0"/>
    <n v="48845.454545454544"/>
    <n v="57"/>
    <n v="-28628.06"/>
  </r>
  <r>
    <s v="L0947"/>
    <x v="637"/>
    <s v="B0947"/>
    <x v="0"/>
    <x v="937"/>
    <n v="19.2"/>
    <n v="36"/>
    <x v="0"/>
    <x v="4"/>
    <x v="1"/>
    <x v="942"/>
    <s v="OWN"/>
    <n v="0.15"/>
    <n v="0.64"/>
    <n v="37993.81"/>
    <n v="0"/>
    <n v="49803.125"/>
    <n v="56"/>
    <n v="6119.8099999999977"/>
  </r>
  <r>
    <s v="L0948"/>
    <x v="638"/>
    <s v="B0948"/>
    <x v="0"/>
    <x v="938"/>
    <n v="23.7"/>
    <n v="36"/>
    <x v="1"/>
    <x v="3"/>
    <x v="3"/>
    <x v="943"/>
    <s v="RENT"/>
    <n v="0.11"/>
    <n v="0.86"/>
    <n v="9020.5300000000007"/>
    <n v="0"/>
    <n v="32226.744186046511"/>
    <n v="47"/>
    <n v="-18694.47"/>
  </r>
  <r>
    <s v="L0949"/>
    <x v="639"/>
    <s v="B0949"/>
    <x v="8"/>
    <x v="939"/>
    <n v="17.100000000000001"/>
    <n v="36"/>
    <x v="0"/>
    <x v="1"/>
    <x v="3"/>
    <x v="944"/>
    <s v="RENT"/>
    <n v="0.46"/>
    <n v="0.81"/>
    <n v="33496.46"/>
    <n v="0"/>
    <n v="35314.81481481481"/>
    <n v="32"/>
    <n v="4891.4599999999991"/>
  </r>
  <r>
    <s v="L0950"/>
    <x v="352"/>
    <s v="B0950"/>
    <x v="7"/>
    <x v="940"/>
    <n v="14.5"/>
    <n v="60"/>
    <x v="0"/>
    <x v="6"/>
    <x v="3"/>
    <x v="945"/>
    <s v="RENT"/>
    <n v="0.13"/>
    <n v="0.63"/>
    <n v="40437.97"/>
    <n v="0"/>
    <n v="56058.730158730155"/>
    <n v="38"/>
    <n v="5120.9700000000012"/>
  </r>
  <r>
    <s v="L0951"/>
    <x v="266"/>
    <s v="B0951"/>
    <x v="5"/>
    <x v="941"/>
    <n v="6.2"/>
    <n v="60"/>
    <x v="0"/>
    <x v="4"/>
    <x v="4"/>
    <x v="946"/>
    <s v="RENT"/>
    <n v="0.5"/>
    <n v="0.71"/>
    <n v="34168.79"/>
    <n v="0"/>
    <n v="45315.492957746479"/>
    <n v="35"/>
    <n v="1994.7900000000009"/>
  </r>
  <r>
    <s v="L0952"/>
    <x v="640"/>
    <s v="B0952"/>
    <x v="8"/>
    <x v="942"/>
    <n v="18.399999999999999"/>
    <n v="60"/>
    <x v="0"/>
    <x v="0"/>
    <x v="2"/>
    <x v="947"/>
    <s v="RENT"/>
    <n v="0.48"/>
    <n v="0.54"/>
    <n v="12971.9"/>
    <n v="0"/>
    <n v="20288.888888888887"/>
    <n v="31"/>
    <n v="2015.8999999999996"/>
  </r>
  <r>
    <s v="L0953"/>
    <x v="641"/>
    <s v="B0953"/>
    <x v="7"/>
    <x v="943"/>
    <n v="16.600000000000001"/>
    <n v="36"/>
    <x v="1"/>
    <x v="5"/>
    <x v="4"/>
    <x v="948"/>
    <s v="MORTGAGE"/>
    <n v="0.15"/>
    <n v="0.9"/>
    <n v="4986.33"/>
    <n v="0"/>
    <n v="44342.222222222219"/>
    <n v="62"/>
    <n v="-34921.67"/>
  </r>
  <r>
    <s v="L0954"/>
    <x v="642"/>
    <s v="B0954"/>
    <x v="6"/>
    <x v="944"/>
    <n v="24.8"/>
    <n v="36"/>
    <x v="0"/>
    <x v="4"/>
    <x v="2"/>
    <x v="949"/>
    <s v="MORTGAGE"/>
    <n v="0.32"/>
    <n v="0.92"/>
    <n v="14772.58"/>
    <n v="0"/>
    <n v="12866.304347826086"/>
    <n v="51"/>
    <n v="2935.58"/>
  </r>
  <r>
    <s v="L0955"/>
    <x v="643"/>
    <s v="B0955"/>
    <x v="5"/>
    <x v="945"/>
    <n v="9.8000000000000007"/>
    <n v="36"/>
    <x v="1"/>
    <x v="0"/>
    <x v="4"/>
    <x v="950"/>
    <s v="MORTGAGE"/>
    <n v="0.17"/>
    <n v="0.94"/>
    <n v="1357.66"/>
    <n v="0"/>
    <n v="5017.0212765957449"/>
    <n v="37"/>
    <n v="-3358.34"/>
  </r>
  <r>
    <s v="L0956"/>
    <x v="165"/>
    <s v="B0956"/>
    <x v="8"/>
    <x v="946"/>
    <n v="15.6"/>
    <n v="36"/>
    <x v="0"/>
    <x v="2"/>
    <x v="0"/>
    <x v="951"/>
    <s v="RENT"/>
    <n v="0.27"/>
    <n v="0.89"/>
    <n v="6336.04"/>
    <n v="0"/>
    <n v="6158.4269662921351"/>
    <n v="57"/>
    <n v="855.04"/>
  </r>
  <r>
    <s v="L0957"/>
    <x v="159"/>
    <s v="B0957"/>
    <x v="5"/>
    <x v="947"/>
    <n v="18"/>
    <n v="60"/>
    <x v="2"/>
    <x v="4"/>
    <x v="2"/>
    <x v="952"/>
    <s v="MORTGAGE"/>
    <n v="0.12"/>
    <n v="0.57999999999999996"/>
    <n v="0"/>
    <n v="0"/>
    <n v="43589.655172413797"/>
    <n v="57"/>
    <n v="-25282"/>
  </r>
  <r>
    <s v="L0958"/>
    <x v="644"/>
    <s v="B0958"/>
    <x v="5"/>
    <x v="948"/>
    <n v="17.899999999999999"/>
    <n v="36"/>
    <x v="1"/>
    <x v="0"/>
    <x v="1"/>
    <x v="953"/>
    <s v="MORTGAGE"/>
    <n v="0.19"/>
    <n v="0.52"/>
    <n v="2381.79"/>
    <n v="0"/>
    <n v="14515.384615384615"/>
    <n v="32"/>
    <n v="-5166.21"/>
  </r>
  <r>
    <s v="L0959"/>
    <x v="22"/>
    <s v="B0959"/>
    <x v="2"/>
    <x v="949"/>
    <n v="16.2"/>
    <n v="36"/>
    <x v="1"/>
    <x v="0"/>
    <x v="2"/>
    <x v="954"/>
    <s v="MORTGAGE"/>
    <n v="0.25"/>
    <n v="0.76"/>
    <n v="7107.9"/>
    <n v="0"/>
    <n v="50796.052631578947"/>
    <n v="39"/>
    <n v="-31497.1"/>
  </r>
  <r>
    <s v="L0960"/>
    <x v="645"/>
    <s v="B0960"/>
    <x v="4"/>
    <x v="950"/>
    <n v="20.5"/>
    <n v="36"/>
    <x v="0"/>
    <x v="4"/>
    <x v="2"/>
    <x v="955"/>
    <s v="MORTGAGE"/>
    <n v="0.28000000000000003"/>
    <n v="0.91"/>
    <n v="10553.39"/>
    <n v="0"/>
    <n v="9624.1758241758234"/>
    <n v="59"/>
    <n v="1795.3899999999994"/>
  </r>
  <r>
    <s v="L0961"/>
    <x v="646"/>
    <s v="B0961"/>
    <x v="2"/>
    <x v="951"/>
    <n v="9.1"/>
    <n v="60"/>
    <x v="0"/>
    <x v="3"/>
    <x v="2"/>
    <x v="956"/>
    <s v="OWN"/>
    <n v="0.49"/>
    <n v="0.57999999999999996"/>
    <n v="26377.11"/>
    <n v="0"/>
    <n v="41684.482758620696"/>
    <n v="45"/>
    <n v="2200.1100000000006"/>
  </r>
  <r>
    <s v="L0962"/>
    <x v="395"/>
    <s v="B0962"/>
    <x v="7"/>
    <x v="952"/>
    <n v="19.5"/>
    <n v="36"/>
    <x v="0"/>
    <x v="4"/>
    <x v="0"/>
    <x v="957"/>
    <s v="RENT"/>
    <n v="0.42"/>
    <n v="0.5"/>
    <n v="29901.29"/>
    <n v="0"/>
    <n v="50044"/>
    <n v="35"/>
    <n v="4879.2900000000009"/>
  </r>
  <r>
    <s v="L0963"/>
    <x v="420"/>
    <s v="B0963"/>
    <x v="9"/>
    <x v="953"/>
    <n v="17.399999999999999"/>
    <n v="36"/>
    <x v="3"/>
    <x v="4"/>
    <x v="4"/>
    <x v="958"/>
    <s v="RENT"/>
    <n v="0.39"/>
    <n v="0.86"/>
    <n v="723.02"/>
    <n v="1622.45"/>
    <n v="7606.9767441860467"/>
    <n v="39"/>
    <n v="-4196.53"/>
  </r>
  <r>
    <s v="L0964"/>
    <x v="647"/>
    <s v="B0964"/>
    <x v="1"/>
    <x v="954"/>
    <n v="22.9"/>
    <n v="36"/>
    <x v="0"/>
    <x v="1"/>
    <x v="1"/>
    <x v="959"/>
    <s v="OWN"/>
    <n v="0.31"/>
    <n v="0.53"/>
    <n v="32539"/>
    <n v="0"/>
    <n v="49954.716981132071"/>
    <n v="38"/>
    <n v="6063"/>
  </r>
  <r>
    <s v="L0965"/>
    <x v="648"/>
    <s v="B0965"/>
    <x v="3"/>
    <x v="955"/>
    <n v="21.9"/>
    <n v="36"/>
    <x v="1"/>
    <x v="4"/>
    <x v="4"/>
    <x v="960"/>
    <s v="MORTGAGE"/>
    <n v="0.44"/>
    <n v="0.69"/>
    <n v="2122.0300000000002"/>
    <n v="0"/>
    <n v="46063.768115942032"/>
    <n v="28"/>
    <n v="-29661.97"/>
  </r>
  <r>
    <s v="L0966"/>
    <x v="649"/>
    <s v="B0966"/>
    <x v="9"/>
    <x v="956"/>
    <n v="11.3"/>
    <n v="36"/>
    <x v="1"/>
    <x v="0"/>
    <x v="4"/>
    <x v="961"/>
    <s v="MORTGAGE"/>
    <n v="0.24"/>
    <n v="0.81"/>
    <n v="1468.47"/>
    <n v="0"/>
    <n v="29308.641975308641"/>
    <n v="39"/>
    <n v="-22271.53"/>
  </r>
  <r>
    <s v="L0967"/>
    <x v="246"/>
    <s v="B0967"/>
    <x v="1"/>
    <x v="957"/>
    <n v="10.5"/>
    <n v="60"/>
    <x v="0"/>
    <x v="0"/>
    <x v="3"/>
    <x v="962"/>
    <s v="MORTGAGE"/>
    <n v="0.38"/>
    <n v="0.61"/>
    <n v="28527.78"/>
    <n v="0"/>
    <n v="42322.950819672129"/>
    <n v="47"/>
    <n v="2710.7799999999988"/>
  </r>
  <r>
    <s v="L0968"/>
    <x v="346"/>
    <s v="B0968"/>
    <x v="7"/>
    <x v="958"/>
    <n v="24.6"/>
    <n v="36"/>
    <x v="1"/>
    <x v="4"/>
    <x v="0"/>
    <x v="963"/>
    <s v="RENT"/>
    <n v="0.5"/>
    <n v="0.54"/>
    <n v="6524.2"/>
    <n v="0"/>
    <n v="31577.777777777777"/>
    <n v="49"/>
    <n v="-10527.8"/>
  </r>
  <r>
    <s v="L0969"/>
    <x v="551"/>
    <s v="B0969"/>
    <x v="7"/>
    <x v="959"/>
    <n v="15.5"/>
    <n v="36"/>
    <x v="1"/>
    <x v="0"/>
    <x v="3"/>
    <x v="964"/>
    <s v="RENT"/>
    <n v="0.23"/>
    <n v="0.85"/>
    <n v="6981.3"/>
    <n v="0"/>
    <n v="42532.941176470587"/>
    <n v="54"/>
    <n v="-29171.7"/>
  </r>
  <r>
    <s v="L0970"/>
    <x v="93"/>
    <s v="B0970"/>
    <x v="6"/>
    <x v="960"/>
    <n v="23.1"/>
    <n v="36"/>
    <x v="1"/>
    <x v="0"/>
    <x v="0"/>
    <x v="965"/>
    <s v="RENT"/>
    <n v="0.37"/>
    <n v="0.78"/>
    <n v="682.33"/>
    <n v="0"/>
    <n v="2142.3076923076924"/>
    <n v="36"/>
    <n v="-988.67"/>
  </r>
  <r>
    <s v="L0971"/>
    <x v="391"/>
    <s v="B0971"/>
    <x v="3"/>
    <x v="961"/>
    <n v="8.3000000000000007"/>
    <n v="36"/>
    <x v="0"/>
    <x v="6"/>
    <x v="4"/>
    <x v="966"/>
    <s v="RENT"/>
    <n v="0.44"/>
    <n v="0.94"/>
    <n v="1259.53"/>
    <n v="0"/>
    <n v="1237.2340425531916"/>
    <n v="31"/>
    <n v="96.529999999999973"/>
  </r>
  <r>
    <s v="L0972"/>
    <x v="650"/>
    <s v="B0972"/>
    <x v="4"/>
    <x v="962"/>
    <n v="17.899999999999999"/>
    <n v="36"/>
    <x v="0"/>
    <x v="0"/>
    <x v="4"/>
    <x v="967"/>
    <s v="RENT"/>
    <n v="0.47"/>
    <n v="0.65"/>
    <n v="6832.3"/>
    <n v="0"/>
    <n v="8915.3846153846152"/>
    <n v="32"/>
    <n v="1037.3000000000002"/>
  </r>
  <r>
    <s v="L0973"/>
    <x v="63"/>
    <s v="B0973"/>
    <x v="5"/>
    <x v="963"/>
    <n v="21.2"/>
    <n v="36"/>
    <x v="0"/>
    <x v="1"/>
    <x v="0"/>
    <x v="968"/>
    <s v="OWN"/>
    <n v="0.39"/>
    <n v="0.53"/>
    <n v="14100.41"/>
    <n v="0"/>
    <n v="21950.943396226416"/>
    <n v="27"/>
    <n v="2466.41"/>
  </r>
  <r>
    <s v="L0974"/>
    <x v="651"/>
    <s v="B0974"/>
    <x v="2"/>
    <x v="964"/>
    <n v="23.9"/>
    <n v="36"/>
    <x v="1"/>
    <x v="6"/>
    <x v="4"/>
    <x v="969"/>
    <s v="RENT"/>
    <n v="0.21"/>
    <n v="0.83"/>
    <n v="1416.33"/>
    <n v="0"/>
    <n v="6985.5421686746995"/>
    <n v="31"/>
    <n v="-4381.67"/>
  </r>
  <r>
    <s v="L0975"/>
    <x v="225"/>
    <s v="B0975"/>
    <x v="2"/>
    <x v="965"/>
    <n v="11.7"/>
    <n v="36"/>
    <x v="1"/>
    <x v="5"/>
    <x v="4"/>
    <x v="970"/>
    <s v="MORTGAGE"/>
    <n v="0.23"/>
    <n v="0.73"/>
    <n v="5945.15"/>
    <n v="0"/>
    <n v="32082.191780821919"/>
    <n v="34"/>
    <n v="-17474.849999999999"/>
  </r>
  <r>
    <s v="L0976"/>
    <x v="76"/>
    <s v="B0976"/>
    <x v="7"/>
    <x v="966"/>
    <n v="19.5"/>
    <n v="36"/>
    <x v="0"/>
    <x v="4"/>
    <x v="1"/>
    <x v="971"/>
    <s v="RENT"/>
    <n v="0.11"/>
    <n v="0.6"/>
    <n v="36208.5"/>
    <n v="0"/>
    <n v="50500"/>
    <n v="43"/>
    <n v="5908.5"/>
  </r>
  <r>
    <s v="L0977"/>
    <x v="379"/>
    <s v="B0977"/>
    <x v="2"/>
    <x v="967"/>
    <n v="15.8"/>
    <n v="36"/>
    <x v="3"/>
    <x v="0"/>
    <x v="3"/>
    <x v="972"/>
    <s v="OWN"/>
    <n v="0.4"/>
    <n v="0.85"/>
    <n v="6434.2"/>
    <n v="4640.18"/>
    <n v="29817.647058823532"/>
    <n v="39"/>
    <n v="-14270.619999999999"/>
  </r>
  <r>
    <s v="L0978"/>
    <x v="652"/>
    <s v="B0978"/>
    <x v="7"/>
    <x v="968"/>
    <n v="6.2"/>
    <n v="60"/>
    <x v="0"/>
    <x v="1"/>
    <x v="3"/>
    <x v="973"/>
    <s v="MORTGAGE"/>
    <n v="0.12"/>
    <n v="0.59"/>
    <n v="12477.44"/>
    <n v="0"/>
    <n v="19913.5593220339"/>
    <n v="41"/>
    <n v="728.44000000000051"/>
  </r>
  <r>
    <s v="L0979"/>
    <x v="653"/>
    <s v="B0979"/>
    <x v="5"/>
    <x v="969"/>
    <n v="18.8"/>
    <n v="60"/>
    <x v="3"/>
    <x v="5"/>
    <x v="3"/>
    <x v="974"/>
    <s v="OWN"/>
    <n v="0.45"/>
    <n v="0.62"/>
    <n v="12429.24"/>
    <n v="11066.94"/>
    <n v="63862.903225806454"/>
    <n v="60"/>
    <n v="-16098.82"/>
  </r>
  <r>
    <s v="L0980"/>
    <x v="220"/>
    <s v="B0980"/>
    <x v="7"/>
    <x v="970"/>
    <n v="18.8"/>
    <n v="60"/>
    <x v="4"/>
    <x v="1"/>
    <x v="2"/>
    <x v="975"/>
    <s v="MORTGAGE"/>
    <n v="0.15"/>
    <n v="0.54"/>
    <n v="0"/>
    <n v="0"/>
    <n v="48372.222222222219"/>
    <n v="58"/>
    <n v="-26121"/>
  </r>
  <r>
    <s v="L0981"/>
    <x v="400"/>
    <s v="B0981"/>
    <x v="6"/>
    <x v="971"/>
    <n v="23.6"/>
    <n v="60"/>
    <x v="3"/>
    <x v="0"/>
    <x v="1"/>
    <x v="976"/>
    <s v="RENT"/>
    <n v="0.17"/>
    <n v="0.68"/>
    <n v="7006.59"/>
    <n v="17357.919999999998"/>
    <n v="56598.529411764699"/>
    <n v="38"/>
    <n v="-14122.490000000002"/>
  </r>
  <r>
    <s v="L0982"/>
    <x v="654"/>
    <s v="B0982"/>
    <x v="4"/>
    <x v="972"/>
    <n v="14.9"/>
    <n v="36"/>
    <x v="1"/>
    <x v="2"/>
    <x v="3"/>
    <x v="977"/>
    <s v="OWN"/>
    <n v="0.28999999999999998"/>
    <n v="0.69"/>
    <n v="3079.75"/>
    <n v="0"/>
    <n v="42624.637681159424"/>
    <n v="38"/>
    <n v="-26331.25"/>
  </r>
  <r>
    <s v="L0983"/>
    <x v="503"/>
    <s v="B0983"/>
    <x v="0"/>
    <x v="973"/>
    <n v="9.6"/>
    <n v="60"/>
    <x v="0"/>
    <x v="0"/>
    <x v="3"/>
    <x v="978"/>
    <s v="MORTGAGE"/>
    <n v="0.4"/>
    <n v="0.73"/>
    <n v="37659.660000000003"/>
    <n v="0"/>
    <n v="47069.863013698632"/>
    <n v="45"/>
    <n v="3298.6600000000035"/>
  </r>
  <r>
    <s v="L0984"/>
    <x v="73"/>
    <s v="B0984"/>
    <x v="8"/>
    <x v="974"/>
    <n v="5.9"/>
    <n v="60"/>
    <x v="0"/>
    <x v="4"/>
    <x v="1"/>
    <x v="979"/>
    <s v="RENT"/>
    <n v="0.16"/>
    <n v="0.82"/>
    <n v="23534.16"/>
    <n v="0"/>
    <n v="27101.219512195123"/>
    <n v="45"/>
    <n v="1311.1599999999999"/>
  </r>
  <r>
    <s v="L0985"/>
    <x v="655"/>
    <s v="B0985"/>
    <x v="4"/>
    <x v="975"/>
    <n v="13.3"/>
    <n v="36"/>
    <x v="1"/>
    <x v="4"/>
    <x v="4"/>
    <x v="194"/>
    <s v="MORTGAGE"/>
    <n v="0.28000000000000003"/>
    <n v="0.91"/>
    <n v="2520.1"/>
    <n v="0"/>
    <n v="9224.1758241758234"/>
    <n v="44"/>
    <n v="-5873.9"/>
  </r>
  <r>
    <s v="L0986"/>
    <x v="656"/>
    <s v="B0986"/>
    <x v="4"/>
    <x v="976"/>
    <n v="11"/>
    <n v="60"/>
    <x v="0"/>
    <x v="0"/>
    <x v="3"/>
    <x v="980"/>
    <s v="OWN"/>
    <n v="0.28999999999999998"/>
    <n v="0.56000000000000005"/>
    <n v="16712.16"/>
    <n v="0"/>
    <n v="26885.714285714283"/>
    <n v="54"/>
    <n v="1656.1599999999999"/>
  </r>
  <r>
    <s v="L0987"/>
    <x v="657"/>
    <s v="B0987"/>
    <x v="9"/>
    <x v="462"/>
    <n v="20.2"/>
    <n v="60"/>
    <x v="0"/>
    <x v="5"/>
    <x v="4"/>
    <x v="981"/>
    <s v="OWN"/>
    <n v="0.18"/>
    <n v="0.52"/>
    <n v="35314.76"/>
    <n v="0"/>
    <n v="56500"/>
    <n v="46"/>
    <n v="5934.760000000002"/>
  </r>
  <r>
    <s v="L0988"/>
    <x v="533"/>
    <s v="B0988"/>
    <x v="3"/>
    <x v="977"/>
    <n v="12.1"/>
    <n v="36"/>
    <x v="1"/>
    <x v="1"/>
    <x v="3"/>
    <x v="982"/>
    <s v="OWN"/>
    <n v="0.15"/>
    <n v="0.51"/>
    <n v="5329.68"/>
    <n v="0"/>
    <n v="53009.803921568629"/>
    <n v="62"/>
    <n v="-21705.32"/>
  </r>
  <r>
    <s v="L0989"/>
    <x v="507"/>
    <s v="B0989"/>
    <x v="3"/>
    <x v="978"/>
    <n v="24"/>
    <n v="36"/>
    <x v="0"/>
    <x v="6"/>
    <x v="0"/>
    <x v="983"/>
    <s v="OWN"/>
    <n v="0.43"/>
    <n v="0.56000000000000005"/>
    <n v="39208.800000000003"/>
    <n v="0"/>
    <n v="56464.28571428571"/>
    <n v="40"/>
    <n v="7588.8000000000029"/>
  </r>
  <r>
    <s v="L0990"/>
    <x v="132"/>
    <s v="B0990"/>
    <x v="1"/>
    <x v="979"/>
    <n v="24.2"/>
    <n v="36"/>
    <x v="3"/>
    <x v="6"/>
    <x v="2"/>
    <x v="984"/>
    <s v="RENT"/>
    <n v="0.3"/>
    <n v="0.8"/>
    <n v="4859.07"/>
    <n v="9308.75"/>
    <n v="26096.25"/>
    <n v="48"/>
    <n v="-6709.18"/>
  </r>
  <r>
    <s v="L0991"/>
    <x v="373"/>
    <s v="B0991"/>
    <x v="8"/>
    <x v="980"/>
    <n v="17.399999999999999"/>
    <n v="60"/>
    <x v="1"/>
    <x v="5"/>
    <x v="3"/>
    <x v="985"/>
    <s v="MORTGAGE"/>
    <n v="0.11"/>
    <n v="0.83"/>
    <n v="10885.67"/>
    <n v="0"/>
    <n v="38446.987951807234"/>
    <n v="61"/>
    <n v="-21025.33"/>
  </r>
  <r>
    <s v="L0992"/>
    <x v="658"/>
    <s v="B0992"/>
    <x v="5"/>
    <x v="981"/>
    <n v="23.6"/>
    <n v="60"/>
    <x v="1"/>
    <x v="1"/>
    <x v="0"/>
    <x v="986"/>
    <s v="RENT"/>
    <n v="0.42"/>
    <n v="0.85"/>
    <n v="9201.2900000000009"/>
    <n v="0"/>
    <n v="39745.882352941175"/>
    <n v="42"/>
    <n v="-24582.71"/>
  </r>
  <r>
    <s v="L0993"/>
    <x v="93"/>
    <s v="B0993"/>
    <x v="0"/>
    <x v="982"/>
    <n v="20.2"/>
    <n v="36"/>
    <x v="1"/>
    <x v="0"/>
    <x v="1"/>
    <x v="987"/>
    <s v="OWN"/>
    <n v="0.49"/>
    <n v="0.61"/>
    <n v="1379.36"/>
    <n v="0"/>
    <n v="6870.4918032786891"/>
    <n v="36"/>
    <n v="-2811.6400000000003"/>
  </r>
  <r>
    <s v="L0994"/>
    <x v="451"/>
    <s v="B0994"/>
    <x v="0"/>
    <x v="983"/>
    <n v="15.9"/>
    <n v="36"/>
    <x v="3"/>
    <x v="5"/>
    <x v="0"/>
    <x v="988"/>
    <s v="MORTGAGE"/>
    <n v="0.34"/>
    <n v="0.64"/>
    <n v="8992.9599999999991"/>
    <n v="10741.33"/>
    <n v="53375"/>
    <n v="60"/>
    <n v="-14425.71"/>
  </r>
  <r>
    <s v="L0995"/>
    <x v="254"/>
    <s v="B0995"/>
    <x v="3"/>
    <x v="984"/>
    <n v="8.6"/>
    <n v="60"/>
    <x v="1"/>
    <x v="0"/>
    <x v="1"/>
    <x v="989"/>
    <s v="OWN"/>
    <n v="0.3"/>
    <n v="0.72"/>
    <n v="9955.6200000000008"/>
    <n v="0"/>
    <n v="36111.111111111109"/>
    <n v="35"/>
    <n v="-16044.38"/>
  </r>
  <r>
    <s v="L0996"/>
    <x v="220"/>
    <s v="B0996"/>
    <x v="4"/>
    <x v="985"/>
    <n v="14.2"/>
    <n v="36"/>
    <x v="1"/>
    <x v="4"/>
    <x v="3"/>
    <x v="990"/>
    <s v="RENT"/>
    <n v="0.45"/>
    <n v="0.53"/>
    <n v="1702.69"/>
    <n v="0"/>
    <n v="8737.7358490566039"/>
    <n v="58"/>
    <n v="-2928.31"/>
  </r>
  <r>
    <s v="L0997"/>
    <x v="659"/>
    <s v="B0997"/>
    <x v="6"/>
    <x v="986"/>
    <n v="16.2"/>
    <n v="60"/>
    <x v="0"/>
    <x v="4"/>
    <x v="1"/>
    <x v="991"/>
    <s v="RENT"/>
    <n v="0.48"/>
    <n v="0.78"/>
    <n v="8333.86"/>
    <n v="0"/>
    <n v="9194.8717948717949"/>
    <n v="61"/>
    <n v="1161.8600000000006"/>
  </r>
  <r>
    <s v="L0998"/>
    <x v="83"/>
    <s v="B0998"/>
    <x v="1"/>
    <x v="987"/>
    <n v="22.3"/>
    <n v="36"/>
    <x v="3"/>
    <x v="4"/>
    <x v="0"/>
    <x v="992"/>
    <s v="RENT"/>
    <n v="0.4"/>
    <n v="0.94"/>
    <n v="6392.17"/>
    <n v="9431.07"/>
    <n v="26128.723404255321"/>
    <n v="61"/>
    <n v="-8737.76"/>
  </r>
  <r>
    <s v="L0999"/>
    <x v="391"/>
    <s v="B0999"/>
    <x v="7"/>
    <x v="957"/>
    <n v="14.6"/>
    <n v="36"/>
    <x v="1"/>
    <x v="5"/>
    <x v="2"/>
    <x v="993"/>
    <s v="MORTGAGE"/>
    <n v="0.28000000000000003"/>
    <n v="0.66"/>
    <n v="9178.11"/>
    <n v="0"/>
    <n v="39116.666666666664"/>
    <n v="31"/>
    <n v="-16638.89"/>
  </r>
  <r>
    <s v="L1000"/>
    <x v="440"/>
    <s v="B1000"/>
    <x v="1"/>
    <x v="988"/>
    <n v="23"/>
    <n v="60"/>
    <x v="0"/>
    <x v="2"/>
    <x v="4"/>
    <x v="994"/>
    <s v="MORTGAGE"/>
    <n v="0.34"/>
    <n v="0.84"/>
    <n v="26175.63"/>
    <n v="0"/>
    <n v="25334.523809523809"/>
    <n v="61"/>
    <n v="4894.63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436BCB-6FD2-49FD-BA96-8067BDB1DF52}" name="PivotTable3"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J4:L10" firstHeaderRow="0" firstDataRow="1" firstDataCol="1"/>
  <pivotFields count="22">
    <pivotField compact="0" outline="0" showAll="0"/>
    <pivotField compact="0" numFmtId="14" outline="0"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compact="0" outline="0" showAll="0"/>
    <pivotField compact="0" outline="0" showAll="0"/>
    <pivotField dataField="1" compact="0" numFmtId="2" outline="0" showAll="0"/>
    <pivotField compact="0" numFmtId="2" outline="0" showAll="0"/>
    <pivotField compact="0" numFmtId="1" outline="0" showAll="0"/>
    <pivotField compact="0" outline="0" showAll="0">
      <items count="6">
        <item x="3"/>
        <item x="1"/>
        <item x="0"/>
        <item x="4"/>
        <item x="2"/>
        <item t="default"/>
      </items>
    </pivotField>
    <pivotField compact="0" outline="0" showAll="0">
      <items count="8">
        <item x="0"/>
        <item x="4"/>
        <item x="5"/>
        <item x="1"/>
        <item x="6"/>
        <item x="2"/>
        <item x="3"/>
        <item t="default"/>
      </items>
    </pivotField>
    <pivotField axis="axisRow" compact="0" outline="0" showAll="0">
      <items count="6">
        <item x="1"/>
        <item x="4"/>
        <item x="2"/>
        <item x="3"/>
        <item x="0"/>
        <item t="default"/>
      </items>
    </pivotField>
    <pivotField compact="0" numFmtId="2" outline="0" showAll="0"/>
    <pivotField compact="0" outline="0" showAll="0"/>
    <pivotField compact="0" numFmtId="2" outline="0" showAll="0"/>
    <pivotField compact="0" numFmtId="2" outline="0" showAll="0"/>
    <pivotField compact="0" numFmtId="2" outline="0" showAll="0"/>
    <pivotField compact="0" numFmtId="2" outline="0" showAll="0"/>
    <pivotField compact="0" outline="0" showAll="0"/>
    <pivotField compact="0" outline="0" showAll="0"/>
    <pivotField compact="0" numFmtId="2"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9"/>
  </rowFields>
  <rowItems count="6">
    <i>
      <x/>
    </i>
    <i>
      <x v="1"/>
    </i>
    <i>
      <x v="2"/>
    </i>
    <i>
      <x v="3"/>
    </i>
    <i>
      <x v="4"/>
    </i>
    <i t="grand">
      <x/>
    </i>
  </rowItems>
  <colFields count="1">
    <field x="-2"/>
  </colFields>
  <colItems count="2">
    <i>
      <x/>
    </i>
    <i i="1">
      <x v="1"/>
    </i>
  </colItems>
  <dataFields count="2">
    <dataField name="Total Funded Amount" fld="4" baseField="9" baseItem="0" numFmtId="2"/>
    <dataField name="No.of Loans" fld="4" subtotal="count" baseField="9" baseItem="0"/>
  </dataFields>
  <formats count="1">
    <format dxfId="26">
      <pivotArea outline="0" fieldPosition="0">
        <references count="1">
          <reference field="4294967294" count="1" selected="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D4A154-6BF3-4D5C-B2B1-35E2E382EDD4}" name="PivotTable2"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E4:G12" firstHeaderRow="0" firstDataRow="1" firstDataCol="1"/>
  <pivotFields count="22">
    <pivotField compact="0" outline="0" showAll="0"/>
    <pivotField compact="0" numFmtId="14" outline="0"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compact="0" outline="0" showAll="0"/>
    <pivotField compact="0" outline="0" showAll="0"/>
    <pivotField dataField="1" compact="0" numFmtId="2" outline="0" showAll="0"/>
    <pivotField compact="0" numFmtId="2" outline="0" showAll="0"/>
    <pivotField compact="0" numFmtId="1" outline="0" showAll="0"/>
    <pivotField compact="0" outline="0" showAll="0">
      <items count="6">
        <item x="3"/>
        <item x="1"/>
        <item x="0"/>
        <item x="4"/>
        <item x="2"/>
        <item t="default"/>
      </items>
    </pivotField>
    <pivotField axis="axisRow" compact="0" outline="0" showAll="0">
      <items count="8">
        <item x="0"/>
        <item x="4"/>
        <item x="5"/>
        <item x="1"/>
        <item x="6"/>
        <item x="2"/>
        <item x="3"/>
        <item t="default"/>
      </items>
    </pivotField>
    <pivotField compact="0" outline="0" showAll="0"/>
    <pivotField compact="0" numFmtId="2" outline="0" showAll="0"/>
    <pivotField compact="0" outline="0" showAll="0"/>
    <pivotField compact="0" numFmtId="2" outline="0" showAll="0"/>
    <pivotField compact="0" numFmtId="2" outline="0" showAll="0"/>
    <pivotField compact="0" numFmtId="2" outline="0" showAll="0"/>
    <pivotField compact="0" numFmtId="2" outline="0" showAll="0"/>
    <pivotField compact="0" outline="0" showAll="0"/>
    <pivotField compact="0" outline="0" showAll="0"/>
    <pivotField compact="0" numFmtId="2"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Total Funded Amount" fld="4" baseField="8" baseItem="0" numFmtId="2"/>
    <dataField name="No.of Loans" fld="4" subtotal="count" baseField="8" baseItem="0"/>
  </dataFields>
  <formats count="1">
    <format dxfId="27">
      <pivotArea outline="0" fieldPosition="0">
        <references count="1">
          <reference field="4294967294" count="1" selected="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A3031-C425-49D5-9C67-18E21BEEC4F5}"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4:B10" firstHeaderRow="1" firstDataRow="1" firstDataCol="1"/>
  <pivotFields count="22">
    <pivotField compact="0" outline="0" showAll="0"/>
    <pivotField compact="0" numFmtId="14" outline="0"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compact="0" outline="0" showAll="0"/>
    <pivotField compact="0" outline="0" showAll="0"/>
    <pivotField dataField="1" compact="0" numFmtId="2" outline="0" showAll="0"/>
    <pivotField compact="0" numFmtId="2" outline="0" showAll="0"/>
    <pivotField compact="0" numFmtId="1" outline="0" showAll="0"/>
    <pivotField axis="axisRow" compact="0" outline="0" showAll="0">
      <items count="6">
        <item x="3"/>
        <item x="1"/>
        <item x="0"/>
        <item x="4"/>
        <item x="2"/>
        <item t="default"/>
      </items>
    </pivotField>
    <pivotField compact="0" outline="0" showAll="0"/>
    <pivotField compact="0" outline="0" showAll="0"/>
    <pivotField compact="0" numFmtId="2" outline="0" showAll="0"/>
    <pivotField compact="0" outline="0" showAll="0"/>
    <pivotField compact="0" numFmtId="2" outline="0" showAll="0"/>
    <pivotField compact="0" numFmtId="2" outline="0" showAll="0"/>
    <pivotField compact="0" numFmtId="2" outline="0" showAll="0"/>
    <pivotField compact="0" numFmtId="2" outline="0" showAll="0"/>
    <pivotField compact="0" outline="0" showAll="0"/>
    <pivotField compact="0" outline="0" showAll="0"/>
    <pivotField compact="0" numFmtId="2"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Total Funded Amount" fld="4" baseField="7" baseItem="0" numFmtId="2"/>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DC610A-D82C-4DBA-A58C-94EAA55389F7}" name="PivotTable8"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1:C32" firstHeaderRow="0" firstDataRow="1" firstDataCol="1"/>
  <pivotFields count="22">
    <pivotField compact="0" outline="0" showAll="0"/>
    <pivotField compact="0" numFmtId="14" outline="0"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compact="0" outline="0" showAll="0"/>
    <pivotField axis="axisRow" compact="0" outline="0" showAll="0">
      <items count="11">
        <item x="7"/>
        <item x="8"/>
        <item x="5"/>
        <item x="6"/>
        <item x="3"/>
        <item x="4"/>
        <item x="2"/>
        <item x="0"/>
        <item x="1"/>
        <item x="9"/>
        <item t="default"/>
      </items>
    </pivotField>
    <pivotField dataField="1" compact="0" numFmtId="2" outline="0" showAll="0">
      <items count="990">
        <item x="54"/>
        <item x="420"/>
        <item x="583"/>
        <item x="744"/>
        <item x="961"/>
        <item x="806"/>
        <item x="568"/>
        <item x="610"/>
        <item x="77"/>
        <item x="46"/>
        <item x="630"/>
        <item x="511"/>
        <item x="376"/>
        <item x="136"/>
        <item x="112"/>
        <item x="560"/>
        <item x="470"/>
        <item x="960"/>
        <item x="194"/>
        <item x="177"/>
        <item x="440"/>
        <item x="481"/>
        <item x="565"/>
        <item x="283"/>
        <item x="571"/>
        <item x="276"/>
        <item x="673"/>
        <item x="581"/>
        <item x="75"/>
        <item x="645"/>
        <item x="925"/>
        <item x="289"/>
        <item x="48"/>
        <item x="454"/>
        <item x="240"/>
        <item x="3"/>
        <item x="634"/>
        <item x="558"/>
        <item x="81"/>
        <item x="40"/>
        <item x="174"/>
        <item x="425"/>
        <item x="596"/>
        <item x="353"/>
        <item x="160"/>
        <item x="527"/>
        <item x="249"/>
        <item x="305"/>
        <item x="463"/>
        <item x="237"/>
        <item x="82"/>
        <item x="257"/>
        <item x="785"/>
        <item x="790"/>
        <item x="34"/>
        <item x="262"/>
        <item x="260"/>
        <item x="754"/>
        <item x="472"/>
        <item x="121"/>
        <item x="232"/>
        <item x="747"/>
        <item x="419"/>
        <item x="810"/>
        <item x="338"/>
        <item x="982"/>
        <item x="377"/>
        <item x="588"/>
        <item x="927"/>
        <item x="332"/>
        <item x="803"/>
        <item x="366"/>
        <item x="432"/>
        <item x="155"/>
        <item x="985"/>
        <item x="710"/>
        <item x="644"/>
        <item x="787"/>
        <item x="945"/>
        <item x="647"/>
        <item x="256"/>
        <item x="400"/>
        <item x="143"/>
        <item x="524"/>
        <item x="228"/>
        <item x="621"/>
        <item x="68"/>
        <item x="636"/>
        <item x="225"/>
        <item x="99"/>
        <item x="791"/>
        <item x="8"/>
        <item x="766"/>
        <item x="689"/>
        <item x="848"/>
        <item x="598"/>
        <item x="946"/>
        <item x="169"/>
        <item x="521"/>
        <item x="515"/>
        <item x="489"/>
        <item x="674"/>
        <item x="460"/>
        <item x="464"/>
        <item x="962"/>
        <item x="964"/>
        <item x="90"/>
        <item x="35"/>
        <item x="828"/>
        <item x="788"/>
        <item x="294"/>
        <item x="385"/>
        <item x="797"/>
        <item x="229"/>
        <item x="83"/>
        <item x="849"/>
        <item x="284"/>
        <item x="915"/>
        <item x="720"/>
        <item x="953"/>
        <item x="348"/>
        <item x="374"/>
        <item x="871"/>
        <item x="933"/>
        <item x="624"/>
        <item x="537"/>
        <item x="885"/>
        <item x="364"/>
        <item x="834"/>
        <item x="78"/>
        <item x="875"/>
        <item x="696"/>
        <item x="423"/>
        <item x="546"/>
        <item x="549"/>
        <item x="396"/>
        <item x="986"/>
        <item x="243"/>
        <item x="540"/>
        <item x="736"/>
        <item x="410"/>
        <item x="919"/>
        <item x="906"/>
        <item x="715"/>
        <item x="669"/>
        <item x="329"/>
        <item x="948"/>
        <item x="490"/>
        <item x="587"/>
        <item x="905"/>
        <item x="586"/>
        <item x="127"/>
        <item x="786"/>
        <item x="867"/>
        <item x="106"/>
        <item x="27"/>
        <item x="701"/>
        <item x="627"/>
        <item x="69"/>
        <item x="480"/>
        <item x="279"/>
        <item x="709"/>
        <item x="297"/>
        <item x="697"/>
        <item x="452"/>
        <item x="193"/>
        <item x="740"/>
        <item x="206"/>
        <item x="247"/>
        <item x="868"/>
        <item x="975"/>
        <item x="762"/>
        <item x="349"/>
        <item x="817"/>
        <item x="299"/>
        <item x="129"/>
        <item x="859"/>
        <item x="199"/>
        <item x="950"/>
        <item x="638"/>
        <item x="317"/>
        <item x="779"/>
        <item x="625"/>
        <item x="205"/>
        <item x="891"/>
        <item x="102"/>
        <item x="301"/>
        <item x="619"/>
        <item x="681"/>
        <item x="192"/>
        <item x="794"/>
        <item x="864"/>
        <item x="874"/>
        <item x="860"/>
        <item x="880"/>
        <item x="147"/>
        <item x="135"/>
        <item x="795"/>
        <item x="483"/>
        <item x="444"/>
        <item x="714"/>
        <item x="10"/>
        <item x="367"/>
        <item x="382"/>
        <item x="895"/>
        <item x="368"/>
        <item x="403"/>
        <item x="97"/>
        <item x="407"/>
        <item x="692"/>
        <item x="658"/>
        <item x="39"/>
        <item x="475"/>
        <item x="872"/>
        <item x="259"/>
        <item x="918"/>
        <item x="302"/>
        <item x="421"/>
        <item x="652"/>
        <item x="589"/>
        <item x="408"/>
        <item x="55"/>
        <item x="172"/>
        <item x="760"/>
        <item x="577"/>
        <item x="384"/>
        <item x="133"/>
        <item x="115"/>
        <item x="728"/>
        <item x="236"/>
        <item x="62"/>
        <item x="799"/>
        <item x="831"/>
        <item x="401"/>
        <item x="554"/>
        <item x="734"/>
        <item x="275"/>
        <item x="231"/>
        <item x="942"/>
        <item x="139"/>
        <item x="783"/>
        <item x="272"/>
        <item x="468"/>
        <item x="208"/>
        <item x="599"/>
        <item x="453"/>
        <item x="417"/>
        <item x="847"/>
        <item x="334"/>
        <item x="802"/>
        <item x="152"/>
        <item x="732"/>
        <item x="963"/>
        <item x="830"/>
        <item x="285"/>
        <item x="573"/>
        <item x="968"/>
        <item x="813"/>
        <item x="789"/>
        <item x="775"/>
        <item x="157"/>
        <item x="536"/>
        <item x="944"/>
        <item x="829"/>
        <item x="30"/>
        <item x="538"/>
        <item x="100"/>
        <item x="722"/>
        <item x="882"/>
        <item x="498"/>
        <item x="663"/>
        <item x="241"/>
        <item x="80"/>
        <item x="195"/>
        <item x="304"/>
        <item x="858"/>
        <item x="352"/>
        <item x="378"/>
        <item x="23"/>
        <item x="678"/>
        <item x="510"/>
        <item x="680"/>
        <item x="187"/>
        <item x="441"/>
        <item x="12"/>
        <item x="753"/>
        <item x="264"/>
        <item x="339"/>
        <item x="323"/>
        <item x="892"/>
        <item x="894"/>
        <item x="85"/>
        <item x="310"/>
        <item x="495"/>
        <item x="666"/>
        <item x="43"/>
        <item x="591"/>
        <item x="717"/>
        <item x="653"/>
        <item x="91"/>
        <item x="499"/>
        <item x="79"/>
        <item x="703"/>
        <item x="778"/>
        <item x="854"/>
        <item x="901"/>
        <item x="929"/>
        <item x="532"/>
        <item x="595"/>
        <item x="125"/>
        <item x="156"/>
        <item x="899"/>
        <item x="865"/>
        <item x="261"/>
        <item x="509"/>
        <item x="484"/>
        <item x="350"/>
        <item x="2"/>
        <item x="148"/>
        <item x="280"/>
        <item x="325"/>
        <item x="694"/>
        <item x="25"/>
        <item x="686"/>
        <item x="337"/>
        <item x="288"/>
        <item x="57"/>
        <item x="617"/>
        <item x="825"/>
        <item x="118"/>
        <item x="702"/>
        <item x="296"/>
        <item x="380"/>
        <item x="615"/>
        <item x="590"/>
        <item x="455"/>
        <item x="434"/>
        <item x="601"/>
        <item x="721"/>
        <item x="132"/>
        <item x="528"/>
        <item x="907"/>
        <item x="142"/>
        <item x="542"/>
        <item x="474"/>
        <item x="976"/>
        <item x="556"/>
        <item x="190"/>
        <item x="780"/>
        <item x="327"/>
        <item x="662"/>
        <item x="792"/>
        <item x="180"/>
        <item x="226"/>
        <item x="881"/>
        <item x="935"/>
        <item x="300"/>
        <item x="182"/>
        <item x="752"/>
        <item x="101"/>
        <item x="50"/>
        <item x="170"/>
        <item x="724"/>
        <item x="134"/>
        <item x="375"/>
        <item x="488"/>
        <item x="450"/>
        <item x="128"/>
        <item x="451"/>
        <item x="570"/>
        <item x="585"/>
        <item x="931"/>
        <item x="607"/>
        <item x="414"/>
        <item x="550"/>
        <item x="604"/>
        <item x="222"/>
        <item x="5"/>
        <item x="42"/>
        <item x="191"/>
        <item x="84"/>
        <item x="815"/>
        <item x="183"/>
        <item x="564"/>
        <item x="755"/>
        <item x="746"/>
        <item x="958"/>
        <item x="469"/>
        <item x="833"/>
        <item x="684"/>
        <item x="477"/>
        <item x="344"/>
        <item x="677"/>
        <item x="418"/>
        <item x="145"/>
        <item x="731"/>
        <item x="443"/>
        <item x="331"/>
        <item x="781"/>
        <item x="119"/>
        <item x="535"/>
        <item x="295"/>
        <item x="823"/>
        <item x="4"/>
        <item x="95"/>
        <item x="888"/>
        <item x="545"/>
        <item x="387"/>
        <item x="751"/>
        <item x="6"/>
        <item x="623"/>
        <item x="356"/>
        <item x="597"/>
        <item x="188"/>
        <item x="372"/>
        <item x="887"/>
        <item x="369"/>
        <item x="335"/>
        <item x="216"/>
        <item x="773"/>
        <item x="749"/>
        <item x="456"/>
        <item x="561"/>
        <item x="212"/>
        <item x="765"/>
        <item x="211"/>
        <item x="642"/>
        <item x="394"/>
        <item x="557"/>
        <item x="501"/>
        <item x="657"/>
        <item x="845"/>
        <item x="111"/>
        <item x="103"/>
        <item x="56"/>
        <item x="213"/>
        <item x="841"/>
        <item x="251"/>
        <item x="151"/>
        <item x="900"/>
        <item x="298"/>
        <item x="196"/>
        <item x="559"/>
        <item x="461"/>
        <item x="412"/>
        <item x="426"/>
        <item x="238"/>
        <item x="360"/>
        <item x="712"/>
        <item x="821"/>
        <item x="268"/>
        <item x="836"/>
        <item x="200"/>
        <item x="839"/>
        <item x="239"/>
        <item x="832"/>
        <item x="798"/>
        <item x="21"/>
        <item x="504"/>
        <item x="109"/>
        <item x="355"/>
        <item x="616"/>
        <item x="93"/>
        <item x="547"/>
        <item x="629"/>
        <item x="248"/>
        <item x="539"/>
        <item x="979"/>
        <item x="150"/>
        <item x="63"/>
        <item x="506"/>
        <item x="351"/>
        <item x="361"/>
        <item x="370"/>
        <item x="459"/>
        <item x="467"/>
        <item x="812"/>
        <item x="159"/>
        <item x="389"/>
        <item x="988"/>
        <item x="563"/>
        <item x="233"/>
        <item x="826"/>
        <item x="74"/>
        <item x="64"/>
        <item x="61"/>
        <item x="18"/>
        <item x="123"/>
        <item x="255"/>
        <item x="572"/>
        <item x="246"/>
        <item x="902"/>
        <item x="706"/>
        <item x="530"/>
        <item x="303"/>
        <item x="502"/>
        <item x="22"/>
        <item x="309"/>
        <item x="974"/>
        <item x="447"/>
        <item x="763"/>
        <item x="313"/>
        <item x="234"/>
        <item x="316"/>
        <item x="71"/>
        <item x="363"/>
        <item x="626"/>
        <item x="691"/>
        <item x="676"/>
        <item x="719"/>
        <item x="273"/>
        <item x="312"/>
        <item x="287"/>
        <item x="227"/>
        <item x="113"/>
        <item x="38"/>
        <item x="397"/>
        <item x="24"/>
        <item x="529"/>
        <item x="856"/>
        <item x="494"/>
        <item x="340"/>
        <item x="0"/>
        <item x="92"/>
        <item x="965"/>
        <item x="409"/>
        <item x="661"/>
        <item x="605"/>
        <item x="258"/>
        <item x="667"/>
        <item x="835"/>
        <item x="723"/>
        <item x="956"/>
        <item x="512"/>
        <item x="263"/>
        <item x="592"/>
        <item x="359"/>
        <item x="544"/>
        <item x="66"/>
        <item x="413"/>
        <item x="33"/>
        <item x="769"/>
        <item x="704"/>
        <item x="951"/>
        <item x="600"/>
        <item x="808"/>
        <item x="727"/>
        <item x="218"/>
        <item x="508"/>
        <item x="921"/>
        <item x="924"/>
        <item x="743"/>
        <item x="65"/>
        <item x="415"/>
        <item x="336"/>
        <item x="884"/>
        <item x="711"/>
        <item x="543"/>
        <item x="124"/>
        <item x="987"/>
        <item x="890"/>
        <item x="648"/>
        <item x="328"/>
        <item x="725"/>
        <item x="758"/>
        <item x="306"/>
        <item x="584"/>
        <item x="37"/>
        <item x="214"/>
        <item x="171"/>
        <item x="952"/>
        <item x="15"/>
        <item x="44"/>
        <item x="26"/>
        <item x="98"/>
        <item x="114"/>
        <item x="608"/>
        <item x="866"/>
        <item x="181"/>
        <item x="947"/>
        <item x="967"/>
        <item x="58"/>
        <item x="466"/>
        <item x="713"/>
        <item x="167"/>
        <item x="154"/>
        <item x="203"/>
        <item x="687"/>
        <item x="716"/>
        <item x="29"/>
        <item x="76"/>
        <item x="957"/>
        <item x="850"/>
        <item x="435"/>
        <item x="844"/>
        <item x="308"/>
        <item x="162"/>
        <item x="846"/>
        <item x="984"/>
        <item x="422"/>
        <item x="912"/>
        <item x="86"/>
        <item x="970"/>
        <item x="855"/>
        <item x="166"/>
        <item x="429"/>
        <item x="311"/>
        <item x="201"/>
        <item x="641"/>
        <item x="954"/>
        <item x="108"/>
        <item x="682"/>
        <item x="664"/>
        <item x="223"/>
        <item x="804"/>
        <item x="579"/>
        <item x="567"/>
        <item x="473"/>
        <item x="433"/>
        <item x="877"/>
        <item x="28"/>
        <item x="777"/>
        <item x="292"/>
        <item x="491"/>
        <item x="566"/>
        <item x="631"/>
        <item x="219"/>
        <item x="485"/>
        <item x="427"/>
        <item x="497"/>
        <item x="324"/>
        <item x="977"/>
        <item x="820"/>
        <item x="759"/>
        <item x="270"/>
        <item x="395"/>
        <item x="555"/>
        <item x="748"/>
        <item x="198"/>
        <item x="646"/>
        <item x="67"/>
        <item x="635"/>
        <item x="431"/>
        <item x="254"/>
        <item x="827"/>
        <item x="357"/>
        <item x="354"/>
        <item x="671"/>
        <item x="910"/>
        <item x="244"/>
        <item x="269"/>
        <item x="391"/>
        <item x="526"/>
        <item x="437"/>
        <item x="293"/>
        <item x="202"/>
        <item x="267"/>
        <item x="938"/>
        <item x="507"/>
        <item x="457"/>
        <item x="551"/>
        <item x="465"/>
        <item x="514"/>
        <item x="552"/>
        <item x="496"/>
        <item x="683"/>
        <item x="618"/>
        <item x="685"/>
        <item x="756"/>
        <item x="320"/>
        <item x="315"/>
        <item x="699"/>
        <item x="628"/>
        <item x="761"/>
        <item x="904"/>
        <item x="130"/>
        <item x="189"/>
        <item x="569"/>
        <item x="411"/>
        <item x="505"/>
        <item x="11"/>
        <item x="319"/>
        <item x="679"/>
        <item x="939"/>
        <item x="649"/>
        <item x="690"/>
        <item x="140"/>
        <item x="87"/>
        <item x="442"/>
        <item x="341"/>
        <item x="917"/>
        <item x="659"/>
        <item x="59"/>
        <item x="897"/>
        <item x="698"/>
        <item x="462"/>
        <item x="574"/>
        <item x="972"/>
        <item x="668"/>
        <item x="73"/>
        <item x="767"/>
        <item x="861"/>
        <item x="126"/>
        <item x="379"/>
        <item x="729"/>
        <item x="345"/>
        <item x="606"/>
        <item x="131"/>
        <item x="476"/>
        <item x="893"/>
        <item x="32"/>
        <item x="204"/>
        <item x="220"/>
        <item x="916"/>
        <item x="94"/>
        <item x="870"/>
        <item x="805"/>
        <item x="393"/>
        <item x="518"/>
        <item x="36"/>
        <item x="230"/>
        <item x="633"/>
        <item x="221"/>
        <item x="321"/>
        <item x="286"/>
        <item x="611"/>
        <item x="966"/>
        <item x="819"/>
        <item x="811"/>
        <item x="750"/>
        <item x="771"/>
        <item x="16"/>
        <item x="104"/>
        <item x="7"/>
        <item x="500"/>
        <item x="138"/>
        <item x="448"/>
        <item x="863"/>
        <item x="146"/>
        <item x="89"/>
        <item x="708"/>
        <item x="178"/>
        <item x="388"/>
        <item x="404"/>
        <item x="914"/>
        <item x="576"/>
        <item x="120"/>
        <item x="141"/>
        <item x="873"/>
        <item x="392"/>
        <item x="479"/>
        <item x="398"/>
        <item x="801"/>
        <item x="911"/>
        <item x="274"/>
        <item x="197"/>
        <item x="517"/>
        <item x="242"/>
        <item x="144"/>
        <item x="978"/>
        <item x="613"/>
        <item x="322"/>
        <item x="838"/>
        <item x="371"/>
        <item x="955"/>
        <item x="405"/>
        <item x="937"/>
        <item x="117"/>
        <item x="980"/>
        <item x="9"/>
        <item x="776"/>
        <item x="660"/>
        <item x="878"/>
        <item x="639"/>
        <item x="941"/>
        <item x="936"/>
        <item x="250"/>
        <item x="655"/>
        <item x="672"/>
        <item x="782"/>
        <item x="735"/>
        <item x="31"/>
        <item x="908"/>
        <item x="876"/>
        <item x="282"/>
        <item x="493"/>
        <item x="318"/>
        <item x="122"/>
        <item x="862"/>
        <item x="889"/>
        <item x="920"/>
        <item x="492"/>
        <item x="173"/>
        <item x="458"/>
        <item x="1"/>
        <item x="741"/>
        <item x="278"/>
        <item x="852"/>
        <item x="41"/>
        <item x="922"/>
        <item x="800"/>
        <item x="253"/>
        <item x="768"/>
        <item x="175"/>
        <item x="347"/>
        <item x="330"/>
        <item x="215"/>
        <item x="342"/>
        <item x="932"/>
        <item x="822"/>
        <item x="163"/>
        <item x="531"/>
        <item x="770"/>
        <item x="594"/>
        <item x="796"/>
        <item x="158"/>
        <item x="675"/>
        <item x="520"/>
        <item x="981"/>
        <item x="416"/>
        <item x="165"/>
        <item x="824"/>
        <item x="47"/>
        <item x="439"/>
        <item x="399"/>
        <item x="816"/>
        <item x="149"/>
        <item x="271"/>
        <item x="478"/>
        <item x="252"/>
        <item x="513"/>
        <item x="983"/>
        <item x="688"/>
        <item x="928"/>
        <item x="438"/>
        <item x="446"/>
        <item x="503"/>
        <item x="428"/>
        <item x="853"/>
        <item x="290"/>
        <item x="973"/>
        <item x="534"/>
        <item x="809"/>
        <item x="934"/>
        <item x="764"/>
        <item x="896"/>
        <item x="207"/>
        <item x="445"/>
        <item x="487"/>
        <item x="224"/>
        <item x="757"/>
        <item x="343"/>
        <item x="640"/>
        <item x="774"/>
        <item x="161"/>
        <item x="578"/>
        <item x="53"/>
        <item x="60"/>
        <item x="707"/>
        <item x="726"/>
        <item x="245"/>
        <item x="738"/>
        <item x="186"/>
        <item x="926"/>
        <item x="105"/>
        <item x="940"/>
        <item x="362"/>
        <item x="923"/>
        <item x="519"/>
        <item x="814"/>
        <item x="346"/>
        <item x="793"/>
        <item x="381"/>
        <item x="718"/>
        <item x="857"/>
        <item x="179"/>
        <item x="210"/>
        <item x="562"/>
        <item x="164"/>
        <item x="277"/>
        <item x="482"/>
        <item x="49"/>
        <item x="705"/>
        <item x="651"/>
        <item x="522"/>
        <item x="580"/>
        <item x="51"/>
        <item x="516"/>
        <item x="291"/>
        <item x="959"/>
        <item x="314"/>
        <item x="436"/>
        <item x="386"/>
        <item x="898"/>
        <item x="883"/>
        <item x="168"/>
        <item x="807"/>
        <item x="116"/>
        <item x="406"/>
        <item x="837"/>
        <item x="333"/>
        <item x="670"/>
        <item x="654"/>
        <item x="886"/>
        <item x="13"/>
        <item x="665"/>
        <item x="70"/>
        <item x="14"/>
        <item x="19"/>
        <item x="614"/>
        <item x="523"/>
        <item x="632"/>
        <item x="548"/>
        <item x="525"/>
        <item x="737"/>
        <item x="842"/>
        <item x="742"/>
        <item x="620"/>
        <item x="107"/>
        <item x="326"/>
        <item x="533"/>
        <item x="486"/>
        <item x="637"/>
        <item x="185"/>
        <item x="553"/>
        <item x="700"/>
        <item x="17"/>
        <item x="72"/>
        <item x="365"/>
        <item x="739"/>
        <item x="609"/>
        <item x="265"/>
        <item x="909"/>
        <item x="430"/>
        <item x="266"/>
        <item x="851"/>
        <item x="449"/>
        <item x="693"/>
        <item x="390"/>
        <item x="137"/>
        <item x="153"/>
        <item x="843"/>
        <item x="96"/>
        <item x="612"/>
        <item x="818"/>
        <item x="110"/>
        <item x="930"/>
        <item x="281"/>
        <item x="602"/>
        <item x="730"/>
        <item x="471"/>
        <item x="209"/>
        <item x="971"/>
        <item x="307"/>
        <item x="176"/>
        <item x="650"/>
        <item x="949"/>
        <item x="88"/>
        <item x="695"/>
        <item x="879"/>
        <item x="745"/>
        <item x="217"/>
        <item x="913"/>
        <item x="622"/>
        <item x="52"/>
        <item x="575"/>
        <item x="903"/>
        <item x="784"/>
        <item x="235"/>
        <item x="603"/>
        <item x="840"/>
        <item x="582"/>
        <item x="358"/>
        <item x="184"/>
        <item x="643"/>
        <item x="656"/>
        <item x="772"/>
        <item x="733"/>
        <item x="593"/>
        <item x="402"/>
        <item x="383"/>
        <item x="969"/>
        <item x="541"/>
        <item x="869"/>
        <item x="20"/>
        <item x="373"/>
        <item x="424"/>
        <item x="45"/>
        <item x="943"/>
        <item t="default"/>
      </items>
    </pivotField>
    <pivotField compact="0" numFmtId="2" outline="0" showAll="0"/>
    <pivotField compact="0" numFmtId="1" outline="0" showAll="0"/>
    <pivotField compact="0" outline="0" showAll="0">
      <items count="6">
        <item x="3"/>
        <item x="1"/>
        <item x="0"/>
        <item x="4"/>
        <item x="2"/>
        <item t="default"/>
      </items>
    </pivotField>
    <pivotField compact="0" outline="0" showAll="0"/>
    <pivotField compact="0" outline="0" showAll="0"/>
    <pivotField compact="0" numFmtId="2" outline="0" showAll="0">
      <items count="996">
        <item x="184"/>
        <item h="1" x="785"/>
        <item x="636"/>
        <item x="324"/>
        <item x="68"/>
        <item x="330"/>
        <item x="774"/>
        <item x="966"/>
        <item x="575"/>
        <item x="573"/>
        <item x="804"/>
        <item x="901"/>
        <item x="204"/>
        <item x="37"/>
        <item x="19"/>
        <item x="21"/>
        <item x="441"/>
        <item x="938"/>
        <item x="56"/>
        <item x="630"/>
        <item x="361"/>
        <item x="585"/>
        <item x="400"/>
        <item x="820"/>
        <item x="491"/>
        <item x="189"/>
        <item x="917"/>
        <item x="944"/>
        <item x="472"/>
        <item x="7"/>
        <item x="919"/>
        <item x="1"/>
        <item x="346"/>
        <item x="811"/>
        <item x="356"/>
        <item x="867"/>
        <item x="145"/>
        <item x="803"/>
        <item x="6"/>
        <item x="381"/>
        <item x="363"/>
        <item x="303"/>
        <item x="980"/>
        <item x="826"/>
        <item x="290"/>
        <item x="420"/>
        <item x="940"/>
        <item x="949"/>
        <item x="853"/>
        <item x="34"/>
        <item x="862"/>
        <item x="550"/>
        <item x="877"/>
        <item x="253"/>
        <item x="132"/>
        <item x="593"/>
        <item x="915"/>
        <item x="147"/>
        <item x="838"/>
        <item x="59"/>
        <item x="278"/>
        <item x="600"/>
        <item x="596"/>
        <item x="992"/>
        <item x="612"/>
        <item x="415"/>
        <item x="770"/>
        <item x="63"/>
        <item x="528"/>
        <item x="338"/>
        <item x="768"/>
        <item x="492"/>
        <item x="515"/>
        <item x="913"/>
        <item x="129"/>
        <item x="494"/>
        <item x="843"/>
        <item x="629"/>
        <item x="279"/>
        <item x="946"/>
        <item x="29"/>
        <item x="287"/>
        <item x="556"/>
        <item x="475"/>
        <item x="771"/>
        <item x="86"/>
        <item x="626"/>
        <item x="0"/>
        <item x="605"/>
        <item x="614"/>
        <item x="348"/>
        <item x="157"/>
        <item x="211"/>
        <item x="848"/>
        <item x="480"/>
        <item x="805"/>
        <item x="906"/>
        <item x="745"/>
        <item x="810"/>
        <item x="709"/>
        <item x="756"/>
        <item x="876"/>
        <item x="571"/>
        <item x="937"/>
        <item x="309"/>
        <item x="543"/>
        <item x="608"/>
        <item x="301"/>
        <item x="250"/>
        <item x="67"/>
        <item x="419"/>
        <item x="230"/>
        <item x="377"/>
        <item x="411"/>
        <item x="468"/>
        <item x="723"/>
        <item x="851"/>
        <item x="484"/>
        <item x="485"/>
        <item x="186"/>
        <item x="628"/>
        <item x="729"/>
        <item x="207"/>
        <item x="895"/>
        <item x="644"/>
        <item x="471"/>
        <item x="185"/>
        <item x="79"/>
        <item x="150"/>
        <item x="933"/>
        <item x="123"/>
        <item x="104"/>
        <item x="261"/>
        <item x="549"/>
        <item x="70"/>
        <item x="336"/>
        <item x="722"/>
        <item x="664"/>
        <item x="482"/>
        <item x="941"/>
        <item x="855"/>
        <item x="481"/>
        <item x="973"/>
        <item x="634"/>
        <item x="369"/>
        <item x="199"/>
        <item x="326"/>
        <item x="886"/>
        <item x="365"/>
        <item x="705"/>
        <item x="508"/>
        <item x="446"/>
        <item x="499"/>
        <item x="314"/>
        <item x="716"/>
        <item x="842"/>
        <item x="617"/>
        <item x="624"/>
        <item x="93"/>
        <item x="88"/>
        <item x="931"/>
        <item x="182"/>
        <item x="868"/>
        <item x="815"/>
        <item x="554"/>
        <item x="860"/>
        <item x="576"/>
        <item x="625"/>
        <item x="194"/>
        <item x="928"/>
        <item x="383"/>
        <item x="77"/>
        <item x="137"/>
        <item x="53"/>
        <item x="298"/>
        <item x="390"/>
        <item x="49"/>
        <item x="374"/>
        <item x="159"/>
        <item x="500"/>
        <item x="734"/>
        <item x="183"/>
        <item x="13"/>
        <item x="758"/>
        <item x="234"/>
        <item x="340"/>
        <item x="378"/>
        <item x="555"/>
        <item x="890"/>
        <item x="761"/>
        <item x="493"/>
        <item x="502"/>
        <item x="869"/>
        <item x="371"/>
        <item x="267"/>
        <item x="936"/>
        <item x="176"/>
        <item x="54"/>
        <item x="373"/>
        <item x="748"/>
        <item x="903"/>
        <item x="195"/>
        <item x="27"/>
        <item x="437"/>
        <item x="367"/>
        <item x="893"/>
        <item x="460"/>
        <item x="388"/>
        <item x="247"/>
        <item x="511"/>
        <item x="308"/>
        <item x="603"/>
        <item x="753"/>
        <item x="889"/>
        <item x="180"/>
        <item x="797"/>
        <item x="112"/>
        <item x="866"/>
        <item x="450"/>
        <item x="44"/>
        <item x="52"/>
        <item x="138"/>
        <item x="414"/>
        <item x="792"/>
        <item x="170"/>
        <item x="522"/>
        <item x="741"/>
        <item x="237"/>
        <item x="539"/>
        <item x="152"/>
        <item x="731"/>
        <item x="870"/>
        <item x="213"/>
        <item x="187"/>
        <item x="975"/>
        <item x="620"/>
        <item x="872"/>
        <item x="950"/>
        <item x="401"/>
        <item x="328"/>
        <item x="592"/>
        <item x="724"/>
        <item x="514"/>
        <item x="300"/>
        <item x="934"/>
        <item x="683"/>
        <item x="312"/>
        <item x="702"/>
        <item x="417"/>
        <item x="830"/>
        <item x="537"/>
        <item x="959"/>
        <item x="148"/>
        <item x="552"/>
        <item x="891"/>
        <item x="161"/>
        <item x="694"/>
        <item x="837"/>
        <item x="426"/>
        <item x="440"/>
        <item x="82"/>
        <item x="850"/>
        <item x="807"/>
        <item x="120"/>
        <item x="256"/>
        <item x="560"/>
        <item x="574"/>
        <item x="281"/>
        <item x="41"/>
        <item x="289"/>
        <item x="520"/>
        <item x="202"/>
        <item x="62"/>
        <item x="258"/>
        <item x="128"/>
        <item x="226"/>
        <item x="916"/>
        <item x="679"/>
        <item x="413"/>
        <item x="929"/>
        <item x="497"/>
        <item x="354"/>
        <item x="979"/>
        <item x="430"/>
        <item x="945"/>
        <item x="925"/>
        <item x="704"/>
        <item x="677"/>
        <item x="765"/>
        <item x="80"/>
        <item x="98"/>
        <item x="565"/>
        <item x="878"/>
        <item x="11"/>
        <item x="434"/>
        <item x="564"/>
        <item x="896"/>
        <item x="703"/>
        <item x="221"/>
        <item x="707"/>
        <item x="299"/>
        <item x="241"/>
        <item x="97"/>
        <item x="99"/>
        <item x="424"/>
        <item x="96"/>
        <item x="789"/>
        <item x="200"/>
        <item x="322"/>
        <item x="280"/>
        <item x="265"/>
        <item x="712"/>
        <item x="546"/>
        <item x="32"/>
        <item x="164"/>
        <item x="454"/>
        <item x="233"/>
        <item x="10"/>
        <item x="31"/>
        <item x="178"/>
        <item x="570"/>
        <item x="791"/>
        <item x="478"/>
        <item x="506"/>
        <item x="220"/>
        <item x="125"/>
        <item x="24"/>
        <item x="529"/>
        <item x="942"/>
        <item x="335"/>
        <item x="119"/>
        <item x="386"/>
        <item x="965"/>
        <item x="675"/>
        <item x="988"/>
        <item x="282"/>
        <item x="127"/>
        <item x="884"/>
        <item x="92"/>
        <item x="16"/>
        <item x="516"/>
        <item x="633"/>
        <item x="225"/>
        <item x="900"/>
        <item x="957"/>
        <item x="133"/>
        <item x="766"/>
        <item x="464"/>
        <item x="12"/>
        <item x="64"/>
        <item x="405"/>
        <item x="637"/>
        <item x="911"/>
        <item x="134"/>
        <item x="699"/>
        <item x="175"/>
        <item x="14"/>
        <item x="257"/>
        <item x="984"/>
        <item x="533"/>
        <item x="818"/>
        <item x="9"/>
        <item x="836"/>
        <item x="477"/>
        <item x="680"/>
        <item x="89"/>
        <item x="345"/>
        <item x="110"/>
        <item x="816"/>
        <item x="72"/>
        <item x="487"/>
        <item x="849"/>
        <item x="559"/>
        <item x="781"/>
        <item x="474"/>
        <item x="165"/>
        <item x="489"/>
        <item x="50"/>
        <item x="40"/>
        <item x="744"/>
        <item x="639"/>
        <item x="496"/>
        <item x="444"/>
        <item x="445"/>
        <item x="108"/>
        <item x="908"/>
        <item x="880"/>
        <item x="524"/>
        <item x="579"/>
        <item x="461"/>
        <item x="387"/>
        <item x="268"/>
        <item x="505"/>
        <item x="315"/>
        <item x="623"/>
        <item x="235"/>
        <item x="408"/>
        <item x="708"/>
        <item x="987"/>
        <item x="495"/>
        <item x="319"/>
        <item x="65"/>
        <item x="685"/>
        <item x="162"/>
        <item x="486"/>
        <item x="33"/>
        <item x="814"/>
        <item x="66"/>
        <item x="431"/>
        <item x="977"/>
        <item x="812"/>
        <item x="580"/>
        <item x="181"/>
        <item x="845"/>
        <item x="613"/>
        <item x="143"/>
        <item x="676"/>
        <item x="38"/>
        <item x="2"/>
        <item x="609"/>
        <item x="542"/>
        <item x="947"/>
        <item x="832"/>
        <item x="217"/>
        <item x="232"/>
        <item x="686"/>
        <item x="591"/>
        <item x="642"/>
        <item x="783"/>
        <item x="881"/>
        <item x="384"/>
        <item x="20"/>
        <item x="121"/>
        <item x="35"/>
        <item x="15"/>
        <item x="156"/>
        <item x="510"/>
        <item x="313"/>
        <item x="172"/>
        <item x="728"/>
        <item x="409"/>
        <item x="665"/>
        <item x="672"/>
        <item x="260"/>
        <item x="305"/>
        <item x="139"/>
        <item x="370"/>
        <item x="155"/>
        <item x="310"/>
        <item x="914"/>
        <item x="700"/>
        <item x="627"/>
        <item x="658"/>
        <item x="887"/>
        <item x="396"/>
        <item x="719"/>
        <item x="523"/>
        <item x="74"/>
        <item x="541"/>
        <item x="453"/>
        <item x="969"/>
        <item x="589"/>
        <item x="798"/>
        <item x="923"/>
        <item x="23"/>
        <item x="418"/>
        <item x="71"/>
        <item x="809"/>
        <item x="918"/>
        <item x="829"/>
        <item x="463"/>
        <item x="114"/>
        <item x="357"/>
        <item x="912"/>
        <item x="779"/>
        <item x="412"/>
        <item x="899"/>
        <item x="670"/>
        <item x="786"/>
        <item x="283"/>
        <item x="615"/>
        <item x="448"/>
        <item x="721"/>
        <item x="362"/>
        <item x="910"/>
        <item x="769"/>
        <item x="740"/>
        <item x="469"/>
        <item x="759"/>
        <item x="730"/>
        <item x="762"/>
        <item x="85"/>
        <item x="530"/>
        <item x="116"/>
        <item x="558"/>
        <item x="83"/>
        <item x="501"/>
        <item x="397"/>
        <item x="342"/>
        <item x="991"/>
        <item x="732"/>
        <item x="894"/>
        <item x="141"/>
        <item x="924"/>
        <item x="238"/>
        <item x="476"/>
        <item x="122"/>
        <item x="244"/>
        <item x="339"/>
        <item x="773"/>
        <item x="817"/>
        <item x="457"/>
        <item x="337"/>
        <item x="847"/>
        <item x="124"/>
        <item x="986"/>
        <item x="252"/>
        <item x="551"/>
        <item x="952"/>
        <item x="317"/>
        <item x="601"/>
        <item x="240"/>
        <item x="618"/>
        <item x="714"/>
        <item x="597"/>
        <item x="90"/>
        <item x="684"/>
        <item x="227"/>
        <item x="402"/>
        <item x="126"/>
        <item x="333"/>
        <item x="78"/>
        <item x="538"/>
        <item x="60"/>
        <item x="962"/>
        <item x="166"/>
        <item x="449"/>
        <item x="263"/>
        <item x="749"/>
        <item x="885"/>
        <item x="205"/>
        <item x="545"/>
        <item x="109"/>
        <item x="874"/>
        <item x="673"/>
        <item x="168"/>
        <item x="192"/>
        <item x="656"/>
        <item x="355"/>
        <item x="568"/>
        <item x="395"/>
        <item x="827"/>
        <item x="586"/>
        <item x="498"/>
        <item x="130"/>
        <item x="582"/>
        <item x="701"/>
        <item x="567"/>
        <item x="304"/>
        <item x="861"/>
        <item x="216"/>
        <item x="359"/>
        <item x="907"/>
        <item x="645"/>
        <item x="294"/>
        <item x="61"/>
        <item x="787"/>
        <item x="81"/>
        <item x="8"/>
        <item x="710"/>
        <item x="416"/>
        <item x="739"/>
        <item x="954"/>
        <item x="640"/>
        <item x="439"/>
        <item x="839"/>
        <item x="277"/>
        <item x="246"/>
        <item x="920"/>
        <item x="802"/>
        <item x="751"/>
        <item x="296"/>
        <item x="519"/>
        <item x="569"/>
        <item x="873"/>
        <item x="557"/>
        <item x="663"/>
        <item x="276"/>
        <item x="197"/>
        <item x="648"/>
        <item x="794"/>
        <item x="142"/>
        <item x="691"/>
        <item x="978"/>
        <item x="292"/>
        <item x="598"/>
        <item x="425"/>
        <item x="334"/>
        <item x="318"/>
        <item x="350"/>
        <item x="610"/>
        <item x="512"/>
        <item x="171"/>
        <item x="525"/>
        <item x="632"/>
        <item x="48"/>
        <item x="652"/>
        <item x="349"/>
        <item x="671"/>
        <item x="892"/>
        <item x="706"/>
        <item x="228"/>
        <item x="981"/>
        <item x="833"/>
        <item x="776"/>
        <item x="742"/>
        <item x="275"/>
        <item x="224"/>
        <item x="909"/>
        <item x="738"/>
        <item x="588"/>
        <item x="177"/>
        <item x="331"/>
        <item x="455"/>
        <item x="972"/>
        <item x="25"/>
        <item x="243"/>
        <item x="153"/>
        <item x="273"/>
        <item x="808"/>
        <item x="657"/>
        <item x="103"/>
        <item x="131"/>
        <item x="823"/>
        <item x="668"/>
        <item x="622"/>
        <item x="105"/>
        <item x="831"/>
        <item x="30"/>
        <item x="777"/>
        <item x="376"/>
        <item x="932"/>
        <item x="100"/>
        <item x="655"/>
        <item x="87"/>
        <item x="782"/>
        <item x="651"/>
        <item x="875"/>
        <item x="17"/>
        <item x="483"/>
        <item x="858"/>
        <item x="778"/>
        <item x="856"/>
        <item x="210"/>
        <item x="698"/>
        <item x="904"/>
        <item x="73"/>
        <item x="389"/>
        <item x="994"/>
        <item x="422"/>
        <item x="327"/>
        <item x="718"/>
        <item x="160"/>
        <item x="687"/>
        <item x="852"/>
        <item x="451"/>
        <item x="504"/>
        <item x="45"/>
        <item x="307"/>
        <item x="248"/>
        <item x="801"/>
        <item x="51"/>
        <item x="772"/>
        <item x="572"/>
        <item x="544"/>
        <item x="584"/>
        <item x="193"/>
        <item x="215"/>
        <item x="107"/>
        <item x="196"/>
        <item x="587"/>
        <item x="692"/>
        <item x="819"/>
        <item x="407"/>
        <item x="465"/>
        <item x="666"/>
        <item x="392"/>
        <item x="470"/>
        <item x="433"/>
        <item x="347"/>
        <item x="846"/>
        <item x="266"/>
        <item x="715"/>
        <item x="578"/>
        <item x="961"/>
        <item x="985"/>
        <item x="286"/>
        <item x="599"/>
        <item x="329"/>
        <item x="140"/>
        <item x="391"/>
        <item x="239"/>
        <item x="115"/>
        <item x="638"/>
        <item x="503"/>
        <item x="509"/>
        <item x="989"/>
        <item x="203"/>
        <item x="974"/>
        <item x="536"/>
        <item x="649"/>
        <item x="921"/>
        <item x="755"/>
        <item x="607"/>
        <item x="970"/>
        <item x="95"/>
        <item x="343"/>
        <item x="531"/>
        <item x="269"/>
        <item x="353"/>
        <item x="218"/>
        <item x="795"/>
        <item x="841"/>
        <item x="526"/>
        <item x="111"/>
        <item x="55"/>
        <item x="428"/>
        <item x="288"/>
        <item x="432"/>
        <item x="39"/>
        <item x="960"/>
        <item x="163"/>
        <item x="577"/>
        <item x="399"/>
        <item x="821"/>
        <item x="717"/>
        <item x="380"/>
        <item x="393"/>
        <item x="69"/>
        <item x="488"/>
        <item x="590"/>
        <item x="306"/>
        <item x="91"/>
        <item x="799"/>
        <item x="209"/>
        <item x="747"/>
        <item x="659"/>
        <item x="36"/>
        <item x="458"/>
        <item x="750"/>
        <item x="452"/>
        <item x="188"/>
        <item x="427"/>
        <item x="320"/>
        <item x="368"/>
        <item x="394"/>
        <item x="763"/>
        <item x="711"/>
        <item x="725"/>
        <item x="661"/>
        <item x="604"/>
        <item x="971"/>
        <item x="42"/>
        <item x="653"/>
        <item x="76"/>
        <item x="757"/>
        <item x="438"/>
        <item x="619"/>
        <item x="231"/>
        <item x="635"/>
        <item x="22"/>
        <item x="518"/>
        <item x="566"/>
        <item x="720"/>
        <item x="606"/>
        <item x="828"/>
        <item x="689"/>
        <item x="667"/>
        <item x="57"/>
        <item x="271"/>
        <item x="883"/>
        <item x="760"/>
        <item x="158"/>
        <item x="223"/>
        <item x="102"/>
        <item x="879"/>
        <item x="311"/>
        <item x="674"/>
        <item x="403"/>
        <item x="5"/>
        <item x="251"/>
        <item x="955"/>
        <item x="385"/>
        <item x="963"/>
        <item x="332"/>
        <item x="897"/>
        <item x="788"/>
        <item x="682"/>
        <item x="611"/>
        <item x="693"/>
        <item x="784"/>
        <item x="951"/>
        <item x="935"/>
        <item x="800"/>
        <item x="302"/>
        <item x="948"/>
        <item x="222"/>
        <item x="726"/>
        <item x="28"/>
        <item x="272"/>
        <item x="264"/>
        <item x="678"/>
        <item x="796"/>
        <item x="825"/>
        <item x="443"/>
        <item x="214"/>
        <item x="325"/>
        <item x="780"/>
        <item x="631"/>
        <item x="382"/>
        <item x="208"/>
        <item x="270"/>
        <item x="835"/>
        <item x="854"/>
        <item x="274"/>
        <item x="553"/>
        <item x="926"/>
        <item x="654"/>
        <item x="595"/>
        <item x="669"/>
        <item x="144"/>
        <item x="462"/>
        <item x="641"/>
        <item x="174"/>
        <item x="790"/>
        <item x="713"/>
        <item x="456"/>
        <item x="490"/>
        <item x="922"/>
        <item x="535"/>
        <item x="94"/>
        <item x="681"/>
        <item x="254"/>
        <item x="84"/>
        <item x="534"/>
        <item x="136"/>
        <item x="727"/>
        <item x="696"/>
        <item x="117"/>
        <item x="321"/>
        <item x="18"/>
        <item x="447"/>
        <item x="364"/>
        <item x="982"/>
        <item x="466"/>
        <item x="212"/>
        <item x="154"/>
        <item x="743"/>
        <item x="990"/>
        <item x="767"/>
        <item x="621"/>
        <item x="513"/>
        <item x="943"/>
        <item x="3"/>
        <item x="351"/>
        <item x="284"/>
        <item x="646"/>
        <item x="752"/>
        <item x="882"/>
        <item x="479"/>
        <item x="647"/>
        <item x="813"/>
        <item x="697"/>
        <item x="229"/>
        <item x="190"/>
        <item x="410"/>
        <item x="316"/>
        <item x="688"/>
        <item x="857"/>
        <item x="540"/>
        <item x="898"/>
        <item x="360"/>
        <item x="398"/>
        <item x="650"/>
        <item x="824"/>
        <item x="532"/>
        <item x="259"/>
        <item x="662"/>
        <item x="983"/>
        <item x="953"/>
        <item x="737"/>
        <item x="834"/>
        <item x="840"/>
        <item x="864"/>
        <item x="822"/>
        <item x="198"/>
        <item x="372"/>
        <item x="967"/>
        <item x="754"/>
        <item x="101"/>
        <item x="736"/>
        <item x="58"/>
        <item x="563"/>
        <item x="581"/>
        <item x="976"/>
        <item x="467"/>
        <item x="297"/>
        <item x="43"/>
        <item x="219"/>
        <item x="775"/>
        <item x="341"/>
        <item x="764"/>
        <item x="379"/>
        <item x="236"/>
        <item x="135"/>
        <item x="746"/>
        <item x="146"/>
        <item x="930"/>
        <item x="442"/>
        <item x="871"/>
        <item x="291"/>
        <item x="242"/>
        <item x="964"/>
        <item x="149"/>
        <item x="690"/>
        <item x="859"/>
        <item x="47"/>
        <item x="206"/>
        <item x="436"/>
        <item x="179"/>
        <item x="939"/>
        <item x="927"/>
        <item x="151"/>
        <item x="358"/>
        <item x="602"/>
        <item x="562"/>
        <item x="561"/>
        <item x="255"/>
        <item x="733"/>
        <item x="285"/>
        <item x="844"/>
        <item x="660"/>
        <item x="421"/>
        <item x="643"/>
        <item x="262"/>
        <item x="75"/>
        <item x="547"/>
        <item x="173"/>
        <item x="167"/>
        <item x="249"/>
        <item x="46"/>
        <item x="902"/>
        <item x="863"/>
        <item x="993"/>
        <item x="459"/>
        <item x="352"/>
        <item x="616"/>
        <item x="521"/>
        <item x="517"/>
        <item x="968"/>
        <item x="888"/>
        <item x="406"/>
        <item x="295"/>
        <item x="323"/>
        <item x="735"/>
        <item x="793"/>
        <item x="106"/>
        <item x="201"/>
        <item x="366"/>
        <item x="473"/>
        <item x="527"/>
        <item x="404"/>
        <item x="956"/>
        <item x="191"/>
        <item x="293"/>
        <item x="435"/>
        <item x="695"/>
        <item x="594"/>
        <item x="806"/>
        <item x="169"/>
        <item x="245"/>
        <item x="548"/>
        <item x="507"/>
        <item x="583"/>
        <item x="118"/>
        <item x="26"/>
        <item x="344"/>
        <item x="113"/>
        <item x="865"/>
        <item x="958"/>
        <item x="423"/>
        <item x="375"/>
        <item x="4"/>
        <item x="905"/>
        <item x="429"/>
        <item t="default"/>
      </items>
    </pivotField>
    <pivotField compact="0" outline="0" showAll="0"/>
    <pivotField compact="0" numFmtId="2" outline="0" showAll="0"/>
    <pivotField compact="0" numFmtId="2" outline="0" showAll="0"/>
    <pivotField compact="0" numFmtId="2" outline="0" showAll="0"/>
    <pivotField compact="0" numFmtId="2" outline="0" showAll="0"/>
    <pivotField compact="0" outline="0" showAll="0"/>
    <pivotField compact="0" outline="0" showAll="0"/>
    <pivotField compact="0" numFmtId="2"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Total Funded Amount" fld="4" baseField="7" baseItem="0" numFmtId="2"/>
    <dataField name="No.of Loans" fld="4" subtotal="count" baseField="19" baseItem="1"/>
  </dataFields>
  <formats count="12">
    <format dxfId="0">
      <pivotArea type="all" dataOnly="0" outline="0" fieldPosition="0"/>
    </format>
    <format dxfId="1">
      <pivotArea outline="0" collapsedLevelsAreSubtotals="1" fieldPosition="0"/>
    </format>
    <format dxfId="2">
      <pivotArea field="19" type="button" dataOnly="0" labelOnly="1" outline="0"/>
    </format>
    <format dxfId="3">
      <pivotArea field="1" type="button" dataOnly="0" labelOnly="1" outline="0"/>
    </format>
    <format dxfId="4">
      <pivotArea dataOnly="0" labelOnly="1" grandRow="1" outline="0" fieldPosition="0"/>
    </format>
    <format dxfId="5">
      <pivotArea dataOnly="0" labelOnly="1" outline="0" fieldPosition="0">
        <references count="1">
          <reference field="4294967294" count="2">
            <x v="0"/>
            <x v="1"/>
          </reference>
        </references>
      </pivotArea>
    </format>
    <format dxfId="6">
      <pivotArea type="all" dataOnly="0" outline="0" fieldPosition="0"/>
    </format>
    <format dxfId="7">
      <pivotArea outline="0" collapsedLevelsAreSubtotals="1" fieldPosition="0"/>
    </format>
    <format dxfId="8">
      <pivotArea field="19" type="button" dataOnly="0" labelOnly="1" outline="0"/>
    </format>
    <format dxfId="9">
      <pivotArea field="1" type="button" dataOnly="0" labelOnly="1" outline="0"/>
    </format>
    <format dxfId="10">
      <pivotArea dataOnly="0" labelOnly="1" grandRow="1" outline="0" fieldPosition="0"/>
    </format>
    <format dxfId="11">
      <pivotArea dataOnly="0" labelOnly="1" outline="0" fieldPosition="0">
        <references count="1">
          <reference field="4294967294" count="2">
            <x v="0"/>
            <x v="1"/>
          </reference>
        </references>
      </pivotArea>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6FABC-904F-4517-B21B-613FB23ED4FB}" name="PivotTable5"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16" firstHeaderRow="0" firstDataRow="1" firstDataCol="2"/>
  <pivotFields count="22">
    <pivotField compact="0" outline="0" showAll="0"/>
    <pivotField axis="axisRow" compact="0" numFmtId="14" outline="0"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compact="0" outline="0" showAll="0"/>
    <pivotField compact="0" outline="0" showAll="0"/>
    <pivotField dataField="1" compact="0" numFmtId="2" outline="0" showAll="0"/>
    <pivotField compact="0" numFmtId="2" outline="0" showAll="0"/>
    <pivotField compact="0" numFmtId="1" outline="0" showAll="0"/>
    <pivotField compact="0" outline="0" showAll="0">
      <items count="6">
        <item x="3"/>
        <item x="1"/>
        <item x="0"/>
        <item x="4"/>
        <item x="2"/>
        <item t="default"/>
      </items>
    </pivotField>
    <pivotField compact="0" outline="0" showAll="0"/>
    <pivotField compact="0" outline="0" showAll="0"/>
    <pivotField compact="0" numFmtId="2" outline="0" showAll="0"/>
    <pivotField compact="0" outline="0" showAll="0"/>
    <pivotField compact="0" numFmtId="2" outline="0" showAll="0"/>
    <pivotField compact="0" numFmtId="2" outline="0" showAll="0"/>
    <pivotField compact="0" numFmtId="2" outline="0" showAll="0"/>
    <pivotField compact="0" numFmtId="2" outline="0" showAll="0"/>
    <pivotField compact="0" outline="0" showAll="0"/>
    <pivotField compact="0" outline="0" showAll="0"/>
    <pivotField compact="0" numFmtId="2"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Total Funded Amount" fld="4" baseField="7" baseItem="0" numFmtId="2"/>
    <dataField name="No.of Loans" fld="4" subtotal="count" baseField="19" baseItem="1"/>
  </dataFields>
  <formats count="14">
    <format dxfId="12">
      <pivotArea type="all" dataOnly="0" outline="0" fieldPosition="0"/>
    </format>
    <format dxfId="13">
      <pivotArea outline="0" collapsedLevelsAreSubtotals="1" fieldPosition="0"/>
    </format>
    <format dxfId="14">
      <pivotArea field="19" type="button" dataOnly="0" labelOnly="1" outline="0" axis="axisRow" fieldPosition="0"/>
    </format>
    <format dxfId="15">
      <pivotArea field="1" type="button" dataOnly="0" labelOnly="1" outline="0" axis="axisRow" fieldPosition="1"/>
    </format>
    <format dxfId="16">
      <pivotArea dataOnly="0" labelOnly="1" outline="0" fieldPosition="0">
        <references count="1">
          <reference field="19" count="12">
            <x v="1"/>
            <x v="2"/>
            <x v="3"/>
            <x v="4"/>
            <x v="5"/>
            <x v="6"/>
            <x v="7"/>
            <x v="8"/>
            <x v="9"/>
            <x v="10"/>
            <x v="11"/>
            <x v="12"/>
          </reference>
        </references>
      </pivotArea>
    </format>
    <format dxfId="17">
      <pivotArea dataOnly="0" labelOnly="1" grandRow="1" outline="0" fieldPosition="0"/>
    </format>
    <format dxfId="18">
      <pivotArea dataOnly="0" labelOnly="1" outline="0" fieldPosition="0">
        <references count="1">
          <reference field="4294967294" count="2">
            <x v="0"/>
            <x v="1"/>
          </reference>
        </references>
      </pivotArea>
    </format>
    <format dxfId="19">
      <pivotArea type="all" dataOnly="0" outline="0" fieldPosition="0"/>
    </format>
    <format dxfId="20">
      <pivotArea outline="0" collapsedLevelsAreSubtotals="1" fieldPosition="0"/>
    </format>
    <format dxfId="21">
      <pivotArea field="19" type="button" dataOnly="0" labelOnly="1" outline="0" axis="axisRow" fieldPosition="0"/>
    </format>
    <format dxfId="22">
      <pivotArea field="1" type="button" dataOnly="0" labelOnly="1" outline="0" axis="axisRow" fieldPosition="1"/>
    </format>
    <format dxfId="23">
      <pivotArea dataOnly="0" labelOnly="1" outline="0" fieldPosition="0">
        <references count="1">
          <reference field="19" count="12">
            <x v="1"/>
            <x v="2"/>
            <x v="3"/>
            <x v="4"/>
            <x v="5"/>
            <x v="6"/>
            <x v="7"/>
            <x v="8"/>
            <x v="9"/>
            <x v="10"/>
            <x v="11"/>
            <x v="12"/>
          </reference>
        </references>
      </pivotArea>
    </format>
    <format dxfId="24">
      <pivotArea dataOnly="0" labelOnly="1" grandRow="1" outline="0" fieldPosition="0"/>
    </format>
    <format dxfId="25">
      <pivotArea dataOnly="0" labelOnly="1" outline="0" fieldPosition="0">
        <references count="1">
          <reference field="4294967294" count="2">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7993F6B-646B-40A7-9060-B15122C9E529}" sourceName="State">
  <pivotTables>
    <pivotTable tabId="4" name="PivotTable8"/>
  </pivotTables>
  <data>
    <tabular pivotCacheId="1652894957">
      <items count="10">
        <i x="7" s="1"/>
        <i x="8" s="1"/>
        <i x="5" s="1"/>
        <i x="6" s="1"/>
        <i x="3" s="1"/>
        <i x="4" s="1"/>
        <i x="2" s="1"/>
        <i x="0" s="1"/>
        <i x="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4B84EB7-3A76-4746-80A4-0B6D11F6CB7C}" cache="Slicer_State" caption="St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2806-3A1B-4E0F-A7D5-0569DF4AF704}">
  <dimension ref="A3:N45"/>
  <sheetViews>
    <sheetView topLeftCell="A22" workbookViewId="0">
      <selection activeCell="A45" sqref="A45"/>
    </sheetView>
  </sheetViews>
  <sheetFormatPr defaultRowHeight="14.4" x14ac:dyDescent="0.3"/>
  <cols>
    <col min="1" max="1" width="15.6640625" bestFit="1" customWidth="1"/>
    <col min="2" max="2" width="18.6640625" bestFit="1" customWidth="1"/>
    <col min="3" max="3" width="10.5546875" bestFit="1" customWidth="1"/>
    <col min="5" max="5" width="12.5546875" bestFit="1" customWidth="1"/>
    <col min="6" max="6" width="18.6640625" bestFit="1" customWidth="1"/>
    <col min="7" max="7" width="10.5546875" bestFit="1" customWidth="1"/>
    <col min="8" max="8" width="4.44140625" customWidth="1"/>
    <col min="9" max="9" width="16.5546875" bestFit="1" customWidth="1"/>
    <col min="10" max="10" width="18.6640625" bestFit="1" customWidth="1"/>
    <col min="11" max="11" width="16.109375" customWidth="1"/>
    <col min="12" max="12" width="10.5546875" customWidth="1"/>
    <col min="16" max="16" width="18.6640625" bestFit="1" customWidth="1"/>
  </cols>
  <sheetData>
    <row r="3" spans="1:14" x14ac:dyDescent="0.3">
      <c r="A3" s="7" t="s">
        <v>2071</v>
      </c>
      <c r="E3" s="7" t="s">
        <v>2067</v>
      </c>
      <c r="J3" s="7" t="s">
        <v>2068</v>
      </c>
      <c r="N3" s="7"/>
    </row>
    <row r="4" spans="1:14" x14ac:dyDescent="0.3">
      <c r="A4" s="5" t="s">
        <v>7</v>
      </c>
      <c r="B4" t="s">
        <v>2070</v>
      </c>
      <c r="E4" s="5" t="s">
        <v>8</v>
      </c>
      <c r="F4" t="s">
        <v>2070</v>
      </c>
      <c r="G4" t="s">
        <v>2069</v>
      </c>
      <c r="J4" s="5" t="s">
        <v>9</v>
      </c>
      <c r="K4" t="s">
        <v>2070</v>
      </c>
      <c r="L4" t="s">
        <v>2069</v>
      </c>
    </row>
    <row r="5" spans="1:14" x14ac:dyDescent="0.3">
      <c r="A5" t="s">
        <v>81</v>
      </c>
      <c r="B5" s="2">
        <v>2112176</v>
      </c>
      <c r="E5" t="s">
        <v>20</v>
      </c>
      <c r="F5" s="2">
        <v>5338618</v>
      </c>
      <c r="G5" s="12">
        <v>250</v>
      </c>
      <c r="H5" s="6"/>
      <c r="J5" t="s">
        <v>28</v>
      </c>
      <c r="K5" s="2">
        <v>4212767</v>
      </c>
      <c r="L5" s="12">
        <v>191</v>
      </c>
    </row>
    <row r="6" spans="1:14" x14ac:dyDescent="0.3">
      <c r="A6" t="s">
        <v>26</v>
      </c>
      <c r="B6" s="2">
        <v>6467779</v>
      </c>
      <c r="E6" t="s">
        <v>57</v>
      </c>
      <c r="F6" s="2">
        <v>4482846</v>
      </c>
      <c r="G6" s="12">
        <v>206</v>
      </c>
      <c r="H6" s="6"/>
      <c r="J6" t="s">
        <v>47</v>
      </c>
      <c r="K6" s="2">
        <v>3788403</v>
      </c>
      <c r="L6" s="12">
        <v>187</v>
      </c>
    </row>
    <row r="7" spans="1:14" x14ac:dyDescent="0.3">
      <c r="A7" t="s">
        <v>19</v>
      </c>
      <c r="B7" s="2">
        <v>11729795</v>
      </c>
      <c r="E7" t="s">
        <v>73</v>
      </c>
      <c r="F7" s="2">
        <v>3235951</v>
      </c>
      <c r="G7" s="12">
        <v>154</v>
      </c>
      <c r="H7" s="6"/>
      <c r="J7" t="s">
        <v>32</v>
      </c>
      <c r="K7" s="2">
        <v>4371262</v>
      </c>
      <c r="L7" s="12">
        <v>197</v>
      </c>
    </row>
    <row r="8" spans="1:14" x14ac:dyDescent="0.3">
      <c r="A8" t="s">
        <v>315</v>
      </c>
      <c r="B8" s="2">
        <v>248118</v>
      </c>
      <c r="E8" t="s">
        <v>27</v>
      </c>
      <c r="F8" s="2">
        <v>3264798</v>
      </c>
      <c r="G8" s="12">
        <v>159</v>
      </c>
      <c r="H8" s="6"/>
      <c r="J8" t="s">
        <v>37</v>
      </c>
      <c r="K8" s="2">
        <v>4432165</v>
      </c>
      <c r="L8" s="12">
        <v>211</v>
      </c>
    </row>
    <row r="9" spans="1:14" x14ac:dyDescent="0.3">
      <c r="A9" t="s">
        <v>60</v>
      </c>
      <c r="B9" s="2">
        <v>697676</v>
      </c>
      <c r="E9" t="s">
        <v>84</v>
      </c>
      <c r="F9" s="2">
        <v>2320669</v>
      </c>
      <c r="G9" s="12">
        <v>106</v>
      </c>
      <c r="H9" s="6"/>
      <c r="J9" t="s">
        <v>21</v>
      </c>
      <c r="K9" s="2">
        <v>4450947</v>
      </c>
      <c r="L9" s="12">
        <v>214</v>
      </c>
    </row>
    <row r="10" spans="1:14" x14ac:dyDescent="0.3">
      <c r="A10" t="s">
        <v>2056</v>
      </c>
      <c r="B10" s="2">
        <v>21255544</v>
      </c>
      <c r="E10" t="s">
        <v>36</v>
      </c>
      <c r="F10" s="2">
        <v>1605848</v>
      </c>
      <c r="G10" s="12">
        <v>81</v>
      </c>
      <c r="H10" s="6"/>
      <c r="J10" t="s">
        <v>2056</v>
      </c>
      <c r="K10" s="2">
        <v>21255544</v>
      </c>
      <c r="L10" s="12">
        <v>1000</v>
      </c>
    </row>
    <row r="11" spans="1:14" x14ac:dyDescent="0.3">
      <c r="E11" t="s">
        <v>41</v>
      </c>
      <c r="F11" s="2">
        <v>1006814</v>
      </c>
      <c r="G11" s="12">
        <v>44</v>
      </c>
      <c r="H11" s="6"/>
    </row>
    <row r="12" spans="1:14" x14ac:dyDescent="0.3">
      <c r="E12" t="s">
        <v>2056</v>
      </c>
      <c r="F12" s="2">
        <v>21255544</v>
      </c>
      <c r="G12" s="12">
        <v>1000</v>
      </c>
      <c r="H12" s="6"/>
    </row>
    <row r="29" spans="1:1" x14ac:dyDescent="0.3">
      <c r="A29" s="8" t="s">
        <v>2057</v>
      </c>
    </row>
    <row r="30" spans="1:1" x14ac:dyDescent="0.3">
      <c r="A30" s="9"/>
    </row>
    <row r="31" spans="1:1" x14ac:dyDescent="0.3">
      <c r="A31" s="8" t="s">
        <v>2058</v>
      </c>
    </row>
    <row r="33" spans="1:1" ht="23.4" x14ac:dyDescent="0.3">
      <c r="A33" s="10" t="s">
        <v>2059</v>
      </c>
    </row>
    <row r="34" spans="1:1" x14ac:dyDescent="0.3">
      <c r="A34" s="9"/>
    </row>
    <row r="35" spans="1:1" x14ac:dyDescent="0.3">
      <c r="A35" s="8" t="s">
        <v>2060</v>
      </c>
    </row>
    <row r="36" spans="1:1" x14ac:dyDescent="0.3">
      <c r="A36" s="11" t="s">
        <v>2061</v>
      </c>
    </row>
    <row r="37" spans="1:1" x14ac:dyDescent="0.3">
      <c r="A37" s="11" t="s">
        <v>2062</v>
      </c>
    </row>
    <row r="39" spans="1:1" ht="23.4" x14ac:dyDescent="0.3">
      <c r="A39" s="10" t="s">
        <v>2063</v>
      </c>
    </row>
    <row r="40" spans="1:1" x14ac:dyDescent="0.3">
      <c r="A40" s="9"/>
    </row>
    <row r="41" spans="1:1" x14ac:dyDescent="0.3">
      <c r="A41" s="8" t="s">
        <v>2064</v>
      </c>
    </row>
    <row r="42" spans="1:1" x14ac:dyDescent="0.3">
      <c r="A42" s="11" t="s">
        <v>2065</v>
      </c>
    </row>
    <row r="43" spans="1:1" x14ac:dyDescent="0.3">
      <c r="A43" s="11" t="s">
        <v>2066</v>
      </c>
    </row>
    <row r="45" spans="1:1" x14ac:dyDescent="0.3">
      <c r="A45" t="s">
        <v>2086</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39B2-1881-4BA7-9779-516D6304B6B5}">
  <dimension ref="A2:D32"/>
  <sheetViews>
    <sheetView topLeftCell="A8" workbookViewId="0">
      <selection activeCell="J31" sqref="J31"/>
    </sheetView>
  </sheetViews>
  <sheetFormatPr defaultRowHeight="14.4" x14ac:dyDescent="0.3"/>
  <cols>
    <col min="1" max="1" width="10.5546875" bestFit="1" customWidth="1"/>
    <col min="2" max="2" width="18.6640625" bestFit="1" customWidth="1"/>
    <col min="3" max="8" width="10.5546875" bestFit="1" customWidth="1"/>
  </cols>
  <sheetData>
    <row r="2" spans="1:4" x14ac:dyDescent="0.3">
      <c r="A2" s="13" t="s">
        <v>2085</v>
      </c>
      <c r="B2" s="14"/>
      <c r="C2" s="14"/>
      <c r="D2" s="14"/>
    </row>
    <row r="3" spans="1:4" x14ac:dyDescent="0.3">
      <c r="A3" s="15" t="s">
        <v>2072</v>
      </c>
      <c r="B3" s="15" t="s">
        <v>1</v>
      </c>
      <c r="C3" s="14" t="s">
        <v>2070</v>
      </c>
      <c r="D3" s="14" t="s">
        <v>2069</v>
      </c>
    </row>
    <row r="4" spans="1:4" x14ac:dyDescent="0.3">
      <c r="A4" s="14" t="s">
        <v>2073</v>
      </c>
      <c r="B4" s="14"/>
      <c r="C4" s="16">
        <v>2092739</v>
      </c>
      <c r="D4" s="17">
        <v>90</v>
      </c>
    </row>
    <row r="5" spans="1:4" x14ac:dyDescent="0.3">
      <c r="A5" s="14" t="s">
        <v>2074</v>
      </c>
      <c r="B5" s="14"/>
      <c r="C5" s="16">
        <v>1755960</v>
      </c>
      <c r="D5" s="17">
        <v>81</v>
      </c>
    </row>
    <row r="6" spans="1:4" x14ac:dyDescent="0.3">
      <c r="A6" s="14" t="s">
        <v>2075</v>
      </c>
      <c r="B6" s="14"/>
      <c r="C6" s="16">
        <v>1730459</v>
      </c>
      <c r="D6" s="17">
        <v>88</v>
      </c>
    </row>
    <row r="7" spans="1:4" x14ac:dyDescent="0.3">
      <c r="A7" s="14" t="s">
        <v>2076</v>
      </c>
      <c r="B7" s="14"/>
      <c r="C7" s="16">
        <v>2165874</v>
      </c>
      <c r="D7" s="17">
        <v>93</v>
      </c>
    </row>
    <row r="8" spans="1:4" x14ac:dyDescent="0.3">
      <c r="A8" s="14" t="s">
        <v>2077</v>
      </c>
      <c r="B8" s="14"/>
      <c r="C8" s="16">
        <v>1811797</v>
      </c>
      <c r="D8" s="17">
        <v>97</v>
      </c>
    </row>
    <row r="9" spans="1:4" x14ac:dyDescent="0.3">
      <c r="A9" s="14" t="s">
        <v>2078</v>
      </c>
      <c r="B9" s="14"/>
      <c r="C9" s="16">
        <v>1483335</v>
      </c>
      <c r="D9" s="17">
        <v>73</v>
      </c>
    </row>
    <row r="10" spans="1:4" x14ac:dyDescent="0.3">
      <c r="A10" s="14" t="s">
        <v>2079</v>
      </c>
      <c r="B10" s="14"/>
      <c r="C10" s="16">
        <v>1596365</v>
      </c>
      <c r="D10" s="17">
        <v>78</v>
      </c>
    </row>
    <row r="11" spans="1:4" x14ac:dyDescent="0.3">
      <c r="A11" s="14" t="s">
        <v>2080</v>
      </c>
      <c r="B11" s="14"/>
      <c r="C11" s="16">
        <v>1649022</v>
      </c>
      <c r="D11" s="17">
        <v>80</v>
      </c>
    </row>
    <row r="12" spans="1:4" x14ac:dyDescent="0.3">
      <c r="A12" s="14" t="s">
        <v>2081</v>
      </c>
      <c r="B12" s="14"/>
      <c r="C12" s="16">
        <v>1511440</v>
      </c>
      <c r="D12" s="17">
        <v>68</v>
      </c>
    </row>
    <row r="13" spans="1:4" x14ac:dyDescent="0.3">
      <c r="A13" s="14" t="s">
        <v>2082</v>
      </c>
      <c r="B13" s="14"/>
      <c r="C13" s="16">
        <v>1991319</v>
      </c>
      <c r="D13" s="17">
        <v>90</v>
      </c>
    </row>
    <row r="14" spans="1:4" x14ac:dyDescent="0.3">
      <c r="A14" s="14" t="s">
        <v>2083</v>
      </c>
      <c r="B14" s="14"/>
      <c r="C14" s="16">
        <v>1551289</v>
      </c>
      <c r="D14" s="17">
        <v>76</v>
      </c>
    </row>
    <row r="15" spans="1:4" x14ac:dyDescent="0.3">
      <c r="A15" s="14" t="s">
        <v>2084</v>
      </c>
      <c r="B15" s="14"/>
      <c r="C15" s="16">
        <v>1915945</v>
      </c>
      <c r="D15" s="17">
        <v>86</v>
      </c>
    </row>
    <row r="16" spans="1:4" x14ac:dyDescent="0.3">
      <c r="A16" s="14" t="s">
        <v>2056</v>
      </c>
      <c r="B16" s="14"/>
      <c r="C16" s="16">
        <v>21255544</v>
      </c>
      <c r="D16" s="17">
        <v>1000</v>
      </c>
    </row>
    <row r="20" spans="1:4" x14ac:dyDescent="0.3">
      <c r="A20" s="13" t="s">
        <v>2087</v>
      </c>
      <c r="B20" s="14"/>
      <c r="C20" s="14"/>
      <c r="D20" s="14"/>
    </row>
    <row r="21" spans="1:4" x14ac:dyDescent="0.3">
      <c r="A21" s="15" t="s">
        <v>3</v>
      </c>
      <c r="B21" s="14" t="s">
        <v>2070</v>
      </c>
      <c r="C21" s="14" t="s">
        <v>2069</v>
      </c>
    </row>
    <row r="22" spans="1:4" x14ac:dyDescent="0.3">
      <c r="A22" s="14" t="s">
        <v>65</v>
      </c>
      <c r="B22" s="16">
        <v>2261248</v>
      </c>
      <c r="C22" s="17">
        <v>103</v>
      </c>
    </row>
    <row r="23" spans="1:4" x14ac:dyDescent="0.3">
      <c r="A23" s="14" t="s">
        <v>72</v>
      </c>
      <c r="B23" s="16">
        <v>1746490</v>
      </c>
      <c r="C23" s="17">
        <v>81</v>
      </c>
    </row>
    <row r="24" spans="1:4" x14ac:dyDescent="0.3">
      <c r="A24" s="14" t="s">
        <v>53</v>
      </c>
      <c r="B24" s="16">
        <v>2310129</v>
      </c>
      <c r="C24" s="17">
        <v>102</v>
      </c>
    </row>
    <row r="25" spans="1:4" x14ac:dyDescent="0.3">
      <c r="A25" s="14" t="s">
        <v>56</v>
      </c>
      <c r="B25" s="16">
        <v>2005298</v>
      </c>
      <c r="C25" s="17">
        <v>98</v>
      </c>
    </row>
    <row r="26" spans="1:4" x14ac:dyDescent="0.3">
      <c r="A26" s="14" t="s">
        <v>46</v>
      </c>
      <c r="B26" s="16">
        <v>2108219</v>
      </c>
      <c r="C26" s="17">
        <v>98</v>
      </c>
    </row>
    <row r="27" spans="1:4" x14ac:dyDescent="0.3">
      <c r="A27" s="14" t="s">
        <v>50</v>
      </c>
      <c r="B27" s="16">
        <v>2199731</v>
      </c>
      <c r="C27" s="17">
        <v>96</v>
      </c>
    </row>
    <row r="28" spans="1:4" x14ac:dyDescent="0.3">
      <c r="A28" s="14" t="s">
        <v>40</v>
      </c>
      <c r="B28" s="16">
        <v>1981495</v>
      </c>
      <c r="C28" s="17">
        <v>95</v>
      </c>
    </row>
    <row r="29" spans="1:4" x14ac:dyDescent="0.3">
      <c r="A29" s="14" t="s">
        <v>18</v>
      </c>
      <c r="B29" s="16">
        <v>2551617</v>
      </c>
      <c r="C29" s="17">
        <v>118</v>
      </c>
    </row>
    <row r="30" spans="1:4" x14ac:dyDescent="0.3">
      <c r="A30" s="14" t="s">
        <v>25</v>
      </c>
      <c r="B30" s="16">
        <v>2056686</v>
      </c>
      <c r="C30" s="17">
        <v>103</v>
      </c>
    </row>
    <row r="31" spans="1:4" x14ac:dyDescent="0.3">
      <c r="A31" s="14" t="s">
        <v>76</v>
      </c>
      <c r="B31" s="16">
        <v>2034631</v>
      </c>
      <c r="C31" s="17">
        <v>106</v>
      </c>
    </row>
    <row r="32" spans="1:4" x14ac:dyDescent="0.3">
      <c r="A32" s="14" t="s">
        <v>2056</v>
      </c>
      <c r="B32" s="16">
        <v>21255544</v>
      </c>
      <c r="C32" s="17">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3E4B-1DC1-4628-AECE-4A4D4D7DEFD4}">
  <dimension ref="A1:B12"/>
  <sheetViews>
    <sheetView workbookViewId="0">
      <selection activeCell="S14" sqref="S14"/>
    </sheetView>
  </sheetViews>
  <sheetFormatPr defaultRowHeight="14.4" x14ac:dyDescent="0.3"/>
  <sheetData>
    <row r="1" spans="1:2" x14ac:dyDescent="0.3">
      <c r="A1" t="s">
        <v>3</v>
      </c>
      <c r="B1" t="s">
        <v>2070</v>
      </c>
    </row>
    <row r="2" spans="1:2" x14ac:dyDescent="0.3">
      <c r="A2" t="s">
        <v>65</v>
      </c>
      <c r="B2">
        <v>2261248</v>
      </c>
    </row>
    <row r="3" spans="1:2" x14ac:dyDescent="0.3">
      <c r="A3" t="s">
        <v>72</v>
      </c>
      <c r="B3">
        <v>1746490</v>
      </c>
    </row>
    <row r="4" spans="1:2" x14ac:dyDescent="0.3">
      <c r="A4" t="s">
        <v>53</v>
      </c>
      <c r="B4">
        <v>2310129</v>
      </c>
    </row>
    <row r="5" spans="1:2" x14ac:dyDescent="0.3">
      <c r="A5" t="s">
        <v>56</v>
      </c>
      <c r="B5">
        <v>2005298</v>
      </c>
    </row>
    <row r="6" spans="1:2" x14ac:dyDescent="0.3">
      <c r="A6" t="s">
        <v>46</v>
      </c>
      <c r="B6">
        <v>2108219</v>
      </c>
    </row>
    <row r="7" spans="1:2" x14ac:dyDescent="0.3">
      <c r="A7" t="s">
        <v>50</v>
      </c>
      <c r="B7">
        <v>2199731</v>
      </c>
    </row>
    <row r="8" spans="1:2" x14ac:dyDescent="0.3">
      <c r="A8" t="s">
        <v>40</v>
      </c>
      <c r="B8">
        <v>1981495</v>
      </c>
    </row>
    <row r="9" spans="1:2" x14ac:dyDescent="0.3">
      <c r="A9" t="s">
        <v>18</v>
      </c>
      <c r="B9">
        <v>2551617</v>
      </c>
    </row>
    <row r="10" spans="1:2" x14ac:dyDescent="0.3">
      <c r="A10" t="s">
        <v>25</v>
      </c>
      <c r="B10">
        <v>2056686</v>
      </c>
    </row>
    <row r="11" spans="1:2" x14ac:dyDescent="0.3">
      <c r="A11" t="s">
        <v>76</v>
      </c>
      <c r="B11">
        <v>2034631</v>
      </c>
    </row>
    <row r="12" spans="1:2" x14ac:dyDescent="0.3">
      <c r="A12" t="s">
        <v>2056</v>
      </c>
      <c r="B12">
        <v>21255544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3558-7969-479A-BCC7-100C91A64AC0}">
  <dimension ref="A1:U1002"/>
  <sheetViews>
    <sheetView tabSelected="1" topLeftCell="C1" workbookViewId="0">
      <selection activeCell="W5" sqref="W5"/>
    </sheetView>
  </sheetViews>
  <sheetFormatPr defaultRowHeight="14.4" x14ac:dyDescent="0.3"/>
  <cols>
    <col min="2" max="2" width="10.33203125" style="1" bestFit="1" customWidth="1"/>
    <col min="4" max="4" width="8.88671875" style="3"/>
    <col min="5" max="6" width="8.88671875" style="2"/>
    <col min="7" max="7" width="8.88671875" style="4"/>
    <col min="11" max="11" width="9.5546875" style="2" bestFit="1" customWidth="1"/>
    <col min="13" max="16" width="8.88671875" style="2"/>
    <col min="18" max="18" width="12.5546875" bestFit="1" customWidth="1"/>
    <col min="19" max="19" width="13.21875" customWidth="1"/>
  </cols>
  <sheetData>
    <row r="1" spans="1:21" x14ac:dyDescent="0.3">
      <c r="A1" t="s">
        <v>0</v>
      </c>
      <c r="B1" s="1" t="s">
        <v>1</v>
      </c>
      <c r="C1" t="s">
        <v>2</v>
      </c>
      <c r="D1" s="3" t="s">
        <v>3</v>
      </c>
      <c r="E1" s="2" t="s">
        <v>4</v>
      </c>
      <c r="F1" s="2" t="s">
        <v>5</v>
      </c>
      <c r="G1" s="4" t="s">
        <v>6</v>
      </c>
      <c r="H1" t="s">
        <v>7</v>
      </c>
      <c r="I1" t="s">
        <v>8</v>
      </c>
      <c r="J1" t="s">
        <v>9</v>
      </c>
      <c r="K1" s="2" t="s">
        <v>10</v>
      </c>
      <c r="L1" t="s">
        <v>11</v>
      </c>
      <c r="M1" s="2" t="s">
        <v>12</v>
      </c>
      <c r="N1" s="2" t="s">
        <v>13</v>
      </c>
      <c r="O1" s="2" t="s">
        <v>14</v>
      </c>
      <c r="P1" s="2" t="s">
        <v>15</v>
      </c>
      <c r="Q1" s="2" t="s">
        <v>2050</v>
      </c>
      <c r="R1" s="2" t="s">
        <v>2052</v>
      </c>
      <c r="S1" s="2" t="s">
        <v>2051</v>
      </c>
      <c r="T1" s="2" t="s">
        <v>2088</v>
      </c>
      <c r="U1" s="2" t="s">
        <v>2089</v>
      </c>
    </row>
    <row r="2" spans="1:21" x14ac:dyDescent="0.3">
      <c r="A2" t="s">
        <v>16</v>
      </c>
      <c r="B2" s="1">
        <v>45057</v>
      </c>
      <c r="C2" t="s">
        <v>17</v>
      </c>
      <c r="D2" s="3" t="s">
        <v>18</v>
      </c>
      <c r="E2" s="2">
        <v>23180</v>
      </c>
      <c r="F2" s="2">
        <v>10.1</v>
      </c>
      <c r="G2" s="4">
        <v>60</v>
      </c>
      <c r="H2" t="s">
        <v>19</v>
      </c>
      <c r="I2" t="s">
        <v>20</v>
      </c>
      <c r="J2" t="s">
        <v>21</v>
      </c>
      <c r="K2" s="2">
        <v>41676</v>
      </c>
      <c r="L2" t="s">
        <v>22</v>
      </c>
      <c r="M2" s="2">
        <v>0.24</v>
      </c>
      <c r="N2" s="2">
        <v>0.82</v>
      </c>
      <c r="O2" s="2">
        <v>25521.18</v>
      </c>
      <c r="P2" s="2">
        <v>0</v>
      </c>
      <c r="Q2">
        <f>E2/N2</f>
        <v>28268.292682926833</v>
      </c>
      <c r="R2">
        <f ca="1">DATEDIF(B2, TODAY(), "M")</f>
        <v>34</v>
      </c>
      <c r="S2" s="2">
        <f>(O2+P2)-E2</f>
        <v>2341.1800000000003</v>
      </c>
      <c r="T2" s="18">
        <v>0.1</v>
      </c>
      <c r="U2">
        <f>S2*(1+T2)</f>
        <v>2575.2980000000007</v>
      </c>
    </row>
    <row r="3" spans="1:21" x14ac:dyDescent="0.3">
      <c r="A3" t="s">
        <v>23</v>
      </c>
      <c r="B3" s="1">
        <v>45241</v>
      </c>
      <c r="C3" t="s">
        <v>24</v>
      </c>
      <c r="D3" s="3" t="s">
        <v>25</v>
      </c>
      <c r="E3" s="2">
        <v>32896</v>
      </c>
      <c r="F3" s="2">
        <v>20.6</v>
      </c>
      <c r="G3" s="4">
        <v>36</v>
      </c>
      <c r="H3" t="s">
        <v>26</v>
      </c>
      <c r="I3" t="s">
        <v>27</v>
      </c>
      <c r="J3" t="s">
        <v>28</v>
      </c>
      <c r="K3" s="2">
        <v>34434</v>
      </c>
      <c r="L3" t="s">
        <v>29</v>
      </c>
      <c r="M3" s="2">
        <v>0.47</v>
      </c>
      <c r="N3" s="2">
        <v>0.59</v>
      </c>
      <c r="O3" s="2">
        <v>9222.59</v>
      </c>
      <c r="P3" s="2">
        <v>0</v>
      </c>
      <c r="Q3">
        <f t="shared" ref="Q3:Q66" si="0">E3/N3</f>
        <v>55755.932203389835</v>
      </c>
      <c r="R3">
        <f t="shared" ref="R3:R66" ca="1" si="1">DATEDIF(B3, TODAY(), "M")</f>
        <v>28</v>
      </c>
      <c r="S3" s="2">
        <f t="shared" ref="S3:S66" si="2">(O3+P3)-E3</f>
        <v>-23673.41</v>
      </c>
      <c r="T3" s="18">
        <v>0.1</v>
      </c>
      <c r="U3">
        <f t="shared" ref="U3:U66" si="3">S3*(1+T3)</f>
        <v>-26040.751</v>
      </c>
    </row>
    <row r="4" spans="1:21" x14ac:dyDescent="0.3">
      <c r="A4" t="s">
        <v>30</v>
      </c>
      <c r="B4" s="1">
        <v>44318</v>
      </c>
      <c r="C4" t="s">
        <v>31</v>
      </c>
      <c r="D4" s="3" t="s">
        <v>25</v>
      </c>
      <c r="E4" s="2">
        <v>13875</v>
      </c>
      <c r="F4" s="2">
        <v>21.5</v>
      </c>
      <c r="G4" s="4">
        <v>36</v>
      </c>
      <c r="H4" t="s">
        <v>26</v>
      </c>
      <c r="I4" t="s">
        <v>20</v>
      </c>
      <c r="J4" t="s">
        <v>32</v>
      </c>
      <c r="K4" s="2">
        <v>79810</v>
      </c>
      <c r="L4" t="s">
        <v>33</v>
      </c>
      <c r="M4" s="2">
        <v>0.33</v>
      </c>
      <c r="N4" s="2">
        <v>0.7</v>
      </c>
      <c r="O4" s="2">
        <v>2689.37</v>
      </c>
      <c r="P4" s="2">
        <v>0</v>
      </c>
      <c r="Q4">
        <f t="shared" si="0"/>
        <v>19821.428571428572</v>
      </c>
      <c r="R4">
        <f t="shared" ca="1" si="1"/>
        <v>58</v>
      </c>
      <c r="S4" s="2">
        <f t="shared" si="2"/>
        <v>-11185.630000000001</v>
      </c>
      <c r="T4" s="18">
        <v>0.1</v>
      </c>
      <c r="U4">
        <f t="shared" si="3"/>
        <v>-12304.193000000003</v>
      </c>
    </row>
    <row r="5" spans="1:21" x14ac:dyDescent="0.3">
      <c r="A5" t="s">
        <v>34</v>
      </c>
      <c r="B5" s="1">
        <v>44663</v>
      </c>
      <c r="C5" t="s">
        <v>35</v>
      </c>
      <c r="D5" s="3" t="s">
        <v>18</v>
      </c>
      <c r="E5" s="2">
        <v>2622</v>
      </c>
      <c r="F5" s="2">
        <v>14.9</v>
      </c>
      <c r="G5" s="4">
        <v>60</v>
      </c>
      <c r="H5" t="s">
        <v>19</v>
      </c>
      <c r="I5" t="s">
        <v>36</v>
      </c>
      <c r="J5" t="s">
        <v>37</v>
      </c>
      <c r="K5" s="2">
        <v>133361</v>
      </c>
      <c r="L5" t="s">
        <v>22</v>
      </c>
      <c r="M5" s="2">
        <v>0.17</v>
      </c>
      <c r="N5" s="2">
        <v>0.87</v>
      </c>
      <c r="O5" s="2">
        <v>3012.68</v>
      </c>
      <c r="P5" s="2">
        <v>0</v>
      </c>
      <c r="Q5">
        <f t="shared" si="0"/>
        <v>3013.7931034482758</v>
      </c>
      <c r="R5">
        <f t="shared" ca="1" si="1"/>
        <v>47</v>
      </c>
      <c r="S5" s="2">
        <f t="shared" si="2"/>
        <v>390.67999999999984</v>
      </c>
      <c r="T5" s="18">
        <v>0.1</v>
      </c>
      <c r="U5">
        <f t="shared" si="3"/>
        <v>429.74799999999988</v>
      </c>
    </row>
    <row r="6" spans="1:21" x14ac:dyDescent="0.3">
      <c r="A6" t="s">
        <v>38</v>
      </c>
      <c r="B6" s="1">
        <v>44527</v>
      </c>
      <c r="C6" t="s">
        <v>39</v>
      </c>
      <c r="D6" s="3" t="s">
        <v>40</v>
      </c>
      <c r="E6" s="2">
        <v>17725</v>
      </c>
      <c r="F6" s="2">
        <v>12.7</v>
      </c>
      <c r="G6" s="4">
        <v>36</v>
      </c>
      <c r="H6" t="s">
        <v>19</v>
      </c>
      <c r="I6" t="s">
        <v>41</v>
      </c>
      <c r="J6" t="s">
        <v>37</v>
      </c>
      <c r="K6" s="2">
        <v>148696</v>
      </c>
      <c r="L6" t="s">
        <v>22</v>
      </c>
      <c r="M6" s="2">
        <v>0.16</v>
      </c>
      <c r="N6" s="2">
        <v>0.79</v>
      </c>
      <c r="O6" s="2">
        <v>19976.080000000002</v>
      </c>
      <c r="P6" s="2">
        <v>0</v>
      </c>
      <c r="Q6">
        <f t="shared" si="0"/>
        <v>22436.708860759492</v>
      </c>
      <c r="R6">
        <f t="shared" ca="1" si="1"/>
        <v>51</v>
      </c>
      <c r="S6" s="2">
        <f t="shared" si="2"/>
        <v>2251.0800000000017</v>
      </c>
      <c r="T6" s="18">
        <v>0.1</v>
      </c>
      <c r="U6">
        <f t="shared" si="3"/>
        <v>2476.1880000000019</v>
      </c>
    </row>
    <row r="7" spans="1:21" x14ac:dyDescent="0.3">
      <c r="A7" t="s">
        <v>42</v>
      </c>
      <c r="B7" s="1">
        <v>44284</v>
      </c>
      <c r="C7" t="s">
        <v>43</v>
      </c>
      <c r="D7" s="3" t="s">
        <v>40</v>
      </c>
      <c r="E7" s="2">
        <v>16646</v>
      </c>
      <c r="F7" s="2">
        <v>14</v>
      </c>
      <c r="G7" s="4">
        <v>36</v>
      </c>
      <c r="H7" t="s">
        <v>19</v>
      </c>
      <c r="I7" t="s">
        <v>20</v>
      </c>
      <c r="J7" t="s">
        <v>37</v>
      </c>
      <c r="K7" s="2">
        <v>124636</v>
      </c>
      <c r="L7" t="s">
        <v>33</v>
      </c>
      <c r="M7" s="2">
        <v>0.33</v>
      </c>
      <c r="N7" s="2">
        <v>0.69</v>
      </c>
      <c r="O7" s="2">
        <v>18976.439999999999</v>
      </c>
      <c r="P7" s="2">
        <v>0</v>
      </c>
      <c r="Q7">
        <f t="shared" si="0"/>
        <v>24124.637681159424</v>
      </c>
      <c r="R7">
        <f t="shared" ca="1" si="1"/>
        <v>59</v>
      </c>
      <c r="S7" s="2">
        <f t="shared" si="2"/>
        <v>2330.4399999999987</v>
      </c>
      <c r="T7" s="18">
        <v>0.1</v>
      </c>
      <c r="U7">
        <f t="shared" si="3"/>
        <v>2563.4839999999986</v>
      </c>
    </row>
    <row r="8" spans="1:21" x14ac:dyDescent="0.3">
      <c r="A8" t="s">
        <v>44</v>
      </c>
      <c r="B8" s="1">
        <v>45068</v>
      </c>
      <c r="C8" t="s">
        <v>45</v>
      </c>
      <c r="D8" s="3" t="s">
        <v>46</v>
      </c>
      <c r="E8" s="2">
        <v>18029</v>
      </c>
      <c r="F8" s="2">
        <v>9.5</v>
      </c>
      <c r="G8" s="4">
        <v>60</v>
      </c>
      <c r="H8" t="s">
        <v>19</v>
      </c>
      <c r="I8" t="s">
        <v>27</v>
      </c>
      <c r="J8" t="s">
        <v>47</v>
      </c>
      <c r="K8" s="2">
        <v>34994</v>
      </c>
      <c r="L8" t="s">
        <v>22</v>
      </c>
      <c r="M8" s="2">
        <v>0.4</v>
      </c>
      <c r="N8" s="2">
        <v>0.8</v>
      </c>
      <c r="O8" s="2">
        <v>19741.759999999998</v>
      </c>
      <c r="P8" s="2">
        <v>0</v>
      </c>
      <c r="Q8">
        <f t="shared" si="0"/>
        <v>22536.25</v>
      </c>
      <c r="R8">
        <f t="shared" ca="1" si="1"/>
        <v>33</v>
      </c>
      <c r="S8" s="2">
        <f t="shared" si="2"/>
        <v>1712.7599999999984</v>
      </c>
      <c r="T8" s="18">
        <v>0.1</v>
      </c>
      <c r="U8">
        <f t="shared" si="3"/>
        <v>1884.0359999999985</v>
      </c>
    </row>
    <row r="9" spans="1:21" x14ac:dyDescent="0.3">
      <c r="A9" t="s">
        <v>48</v>
      </c>
      <c r="B9" s="1">
        <v>44327</v>
      </c>
      <c r="C9" t="s">
        <v>49</v>
      </c>
      <c r="D9" s="3" t="s">
        <v>50</v>
      </c>
      <c r="E9" s="2">
        <v>30402</v>
      </c>
      <c r="F9" s="2">
        <v>22.8</v>
      </c>
      <c r="G9" s="4">
        <v>36</v>
      </c>
      <c r="H9" t="s">
        <v>26</v>
      </c>
      <c r="I9" t="s">
        <v>20</v>
      </c>
      <c r="J9" t="s">
        <v>21</v>
      </c>
      <c r="K9" s="2">
        <v>34234</v>
      </c>
      <c r="L9" t="s">
        <v>33</v>
      </c>
      <c r="M9" s="2">
        <v>0.41</v>
      </c>
      <c r="N9" s="2">
        <v>0.55000000000000004</v>
      </c>
      <c r="O9" s="2">
        <v>3813.31</v>
      </c>
      <c r="P9" s="2">
        <v>0</v>
      </c>
      <c r="Q9">
        <f t="shared" si="0"/>
        <v>55276.363636363632</v>
      </c>
      <c r="R9">
        <f t="shared" ca="1" si="1"/>
        <v>58</v>
      </c>
      <c r="S9" s="2">
        <f t="shared" si="2"/>
        <v>-26588.69</v>
      </c>
      <c r="T9" s="18">
        <v>0.1</v>
      </c>
      <c r="U9">
        <f t="shared" si="3"/>
        <v>-29247.559000000001</v>
      </c>
    </row>
    <row r="10" spans="1:21" x14ac:dyDescent="0.3">
      <c r="A10" t="s">
        <v>51</v>
      </c>
      <c r="B10" s="1">
        <v>44966</v>
      </c>
      <c r="C10" t="s">
        <v>52</v>
      </c>
      <c r="D10" s="3" t="s">
        <v>53</v>
      </c>
      <c r="E10" s="2">
        <v>5263</v>
      </c>
      <c r="F10" s="2">
        <v>14</v>
      </c>
      <c r="G10" s="4">
        <v>36</v>
      </c>
      <c r="H10" t="s">
        <v>26</v>
      </c>
      <c r="I10" t="s">
        <v>27</v>
      </c>
      <c r="J10" t="s">
        <v>32</v>
      </c>
      <c r="K10" s="2">
        <v>99300</v>
      </c>
      <c r="L10" t="s">
        <v>33</v>
      </c>
      <c r="M10" s="2">
        <v>0.21</v>
      </c>
      <c r="N10" s="2">
        <v>0.68</v>
      </c>
      <c r="O10" s="2">
        <v>885.74</v>
      </c>
      <c r="P10" s="2">
        <v>0</v>
      </c>
      <c r="Q10">
        <f t="shared" si="0"/>
        <v>7739.7058823529405</v>
      </c>
      <c r="R10">
        <f t="shared" ca="1" si="1"/>
        <v>37</v>
      </c>
      <c r="S10" s="2">
        <f t="shared" si="2"/>
        <v>-4377.26</v>
      </c>
      <c r="T10" s="18">
        <v>0.1</v>
      </c>
      <c r="U10">
        <f t="shared" si="3"/>
        <v>-4814.9860000000008</v>
      </c>
    </row>
    <row r="11" spans="1:21" x14ac:dyDescent="0.3">
      <c r="A11" t="s">
        <v>54</v>
      </c>
      <c r="B11" s="1">
        <v>44540</v>
      </c>
      <c r="C11" t="s">
        <v>55</v>
      </c>
      <c r="D11" s="3" t="s">
        <v>56</v>
      </c>
      <c r="E11" s="2">
        <v>31987</v>
      </c>
      <c r="F11" s="2">
        <v>22.6</v>
      </c>
      <c r="G11" s="4">
        <v>60</v>
      </c>
      <c r="H11" t="s">
        <v>26</v>
      </c>
      <c r="I11" t="s">
        <v>57</v>
      </c>
      <c r="J11" t="s">
        <v>21</v>
      </c>
      <c r="K11" s="2">
        <v>73949</v>
      </c>
      <c r="L11" t="s">
        <v>33</v>
      </c>
      <c r="M11" s="2">
        <v>0.18</v>
      </c>
      <c r="N11" s="2">
        <v>0.86</v>
      </c>
      <c r="O11" s="2">
        <v>2113.92</v>
      </c>
      <c r="P11" s="2">
        <v>0</v>
      </c>
      <c r="Q11">
        <f t="shared" si="0"/>
        <v>37194.186046511626</v>
      </c>
      <c r="R11">
        <f t="shared" ca="1" si="1"/>
        <v>51</v>
      </c>
      <c r="S11" s="2">
        <f t="shared" si="2"/>
        <v>-29873.08</v>
      </c>
      <c r="T11" s="18">
        <v>0.1</v>
      </c>
      <c r="U11">
        <f t="shared" si="3"/>
        <v>-32860.388000000006</v>
      </c>
    </row>
    <row r="12" spans="1:21" x14ac:dyDescent="0.3">
      <c r="A12" t="s">
        <v>58</v>
      </c>
      <c r="B12" s="1">
        <v>45002</v>
      </c>
      <c r="C12" t="s">
        <v>59</v>
      </c>
      <c r="D12" s="3" t="s">
        <v>25</v>
      </c>
      <c r="E12" s="2">
        <v>9646</v>
      </c>
      <c r="F12" s="2">
        <v>7.1</v>
      </c>
      <c r="G12" s="4">
        <v>60</v>
      </c>
      <c r="H12" t="s">
        <v>60</v>
      </c>
      <c r="I12" t="s">
        <v>27</v>
      </c>
      <c r="J12" t="s">
        <v>47</v>
      </c>
      <c r="K12" s="2">
        <v>67405</v>
      </c>
      <c r="L12" t="s">
        <v>33</v>
      </c>
      <c r="M12" s="2">
        <v>0.11</v>
      </c>
      <c r="N12" s="2">
        <v>0.6</v>
      </c>
      <c r="O12" s="2">
        <v>0</v>
      </c>
      <c r="P12" s="2">
        <v>0</v>
      </c>
      <c r="Q12">
        <f t="shared" si="0"/>
        <v>16076.666666666668</v>
      </c>
      <c r="R12">
        <f t="shared" ca="1" si="1"/>
        <v>36</v>
      </c>
      <c r="S12" s="2">
        <f t="shared" si="2"/>
        <v>-9646</v>
      </c>
      <c r="T12" s="18">
        <v>0.1</v>
      </c>
      <c r="U12">
        <f t="shared" si="3"/>
        <v>-10610.6</v>
      </c>
    </row>
    <row r="13" spans="1:21" x14ac:dyDescent="0.3">
      <c r="A13" t="s">
        <v>61</v>
      </c>
      <c r="B13" s="1">
        <v>44582</v>
      </c>
      <c r="C13" t="s">
        <v>62</v>
      </c>
      <c r="D13" s="3" t="s">
        <v>46</v>
      </c>
      <c r="E13" s="2">
        <v>28529</v>
      </c>
      <c r="F13" s="2">
        <v>24.8</v>
      </c>
      <c r="G13" s="4">
        <v>60</v>
      </c>
      <c r="H13" t="s">
        <v>19</v>
      </c>
      <c r="I13" t="s">
        <v>57</v>
      </c>
      <c r="J13" t="s">
        <v>32</v>
      </c>
      <c r="K13" s="2">
        <v>64872</v>
      </c>
      <c r="L13" t="s">
        <v>33</v>
      </c>
      <c r="M13" s="2">
        <v>0.37</v>
      </c>
      <c r="N13" s="2">
        <v>0.57999999999999996</v>
      </c>
      <c r="O13" s="2">
        <v>35604.19</v>
      </c>
      <c r="P13" s="2">
        <v>0</v>
      </c>
      <c r="Q13">
        <f t="shared" si="0"/>
        <v>49187.931034482761</v>
      </c>
      <c r="R13">
        <f t="shared" ca="1" si="1"/>
        <v>49</v>
      </c>
      <c r="S13" s="2">
        <f t="shared" si="2"/>
        <v>7075.1900000000023</v>
      </c>
      <c r="T13" s="18">
        <v>0.1</v>
      </c>
      <c r="U13">
        <f t="shared" si="3"/>
        <v>7782.7090000000035</v>
      </c>
    </row>
    <row r="14" spans="1:21" x14ac:dyDescent="0.3">
      <c r="A14" t="s">
        <v>63</v>
      </c>
      <c r="B14" s="1">
        <v>45152</v>
      </c>
      <c r="C14" t="s">
        <v>64</v>
      </c>
      <c r="D14" s="3" t="s">
        <v>65</v>
      </c>
      <c r="E14" s="2">
        <v>12664</v>
      </c>
      <c r="F14" s="2">
        <v>13.9</v>
      </c>
      <c r="G14" s="4">
        <v>36</v>
      </c>
      <c r="H14" t="s">
        <v>19</v>
      </c>
      <c r="I14" t="s">
        <v>20</v>
      </c>
      <c r="J14" t="s">
        <v>32</v>
      </c>
      <c r="K14" s="2">
        <v>72215</v>
      </c>
      <c r="L14" t="s">
        <v>29</v>
      </c>
      <c r="M14" s="2">
        <v>0.13</v>
      </c>
      <c r="N14" s="2">
        <v>0.93</v>
      </c>
      <c r="O14" s="2">
        <v>14424.3</v>
      </c>
      <c r="P14" s="2">
        <v>0</v>
      </c>
      <c r="Q14">
        <f t="shared" si="0"/>
        <v>13617.204301075268</v>
      </c>
      <c r="R14">
        <f t="shared" ca="1" si="1"/>
        <v>31</v>
      </c>
      <c r="S14" s="2">
        <f t="shared" si="2"/>
        <v>1760.2999999999993</v>
      </c>
      <c r="T14" s="18">
        <v>0.1</v>
      </c>
      <c r="U14">
        <f t="shared" si="3"/>
        <v>1936.3299999999992</v>
      </c>
    </row>
    <row r="15" spans="1:21" x14ac:dyDescent="0.3">
      <c r="A15" t="s">
        <v>66</v>
      </c>
      <c r="B15" s="1">
        <v>44473</v>
      </c>
      <c r="C15" t="s">
        <v>67</v>
      </c>
      <c r="D15" s="3" t="s">
        <v>46</v>
      </c>
      <c r="E15" s="2">
        <v>36737</v>
      </c>
      <c r="F15" s="2">
        <v>6</v>
      </c>
      <c r="G15" s="4">
        <v>60</v>
      </c>
      <c r="H15" t="s">
        <v>19</v>
      </c>
      <c r="I15" t="s">
        <v>57</v>
      </c>
      <c r="J15" t="s">
        <v>28</v>
      </c>
      <c r="K15" s="2">
        <v>53185</v>
      </c>
      <c r="L15" t="s">
        <v>33</v>
      </c>
      <c r="M15" s="2">
        <v>0.27</v>
      </c>
      <c r="N15" s="2">
        <v>0.59</v>
      </c>
      <c r="O15" s="2">
        <v>38941.22</v>
      </c>
      <c r="P15" s="2">
        <v>0</v>
      </c>
      <c r="Q15">
        <f t="shared" si="0"/>
        <v>62266.101694915254</v>
      </c>
      <c r="R15">
        <f t="shared" ca="1" si="1"/>
        <v>53</v>
      </c>
      <c r="S15" s="2">
        <f t="shared" si="2"/>
        <v>2204.2200000000012</v>
      </c>
      <c r="T15" s="18">
        <v>0.1</v>
      </c>
      <c r="U15">
        <f t="shared" si="3"/>
        <v>2424.6420000000016</v>
      </c>
    </row>
    <row r="16" spans="1:21" x14ac:dyDescent="0.3">
      <c r="A16" t="s">
        <v>68</v>
      </c>
      <c r="B16" s="1">
        <v>44656</v>
      </c>
      <c r="C16" t="s">
        <v>69</v>
      </c>
      <c r="D16" s="3" t="s">
        <v>65</v>
      </c>
      <c r="E16" s="2">
        <v>36796</v>
      </c>
      <c r="F16" s="2">
        <v>5.8</v>
      </c>
      <c r="G16" s="4">
        <v>60</v>
      </c>
      <c r="H16" t="s">
        <v>26</v>
      </c>
      <c r="I16" t="s">
        <v>20</v>
      </c>
      <c r="J16" t="s">
        <v>21</v>
      </c>
      <c r="K16" s="2">
        <v>73442</v>
      </c>
      <c r="L16" t="s">
        <v>29</v>
      </c>
      <c r="M16" s="2">
        <v>0.34</v>
      </c>
      <c r="N16" s="2">
        <v>0.62</v>
      </c>
      <c r="O16" s="2">
        <v>13503.79</v>
      </c>
      <c r="P16" s="2">
        <v>0</v>
      </c>
      <c r="Q16">
        <f t="shared" si="0"/>
        <v>59348.387096774197</v>
      </c>
      <c r="R16">
        <f t="shared" ca="1" si="1"/>
        <v>47</v>
      </c>
      <c r="S16" s="2">
        <f t="shared" si="2"/>
        <v>-23292.21</v>
      </c>
      <c r="T16" s="18">
        <v>0.1</v>
      </c>
      <c r="U16">
        <f t="shared" si="3"/>
        <v>-25621.431</v>
      </c>
    </row>
    <row r="17" spans="1:21" x14ac:dyDescent="0.3">
      <c r="A17" t="s">
        <v>70</v>
      </c>
      <c r="B17" s="1">
        <v>44218</v>
      </c>
      <c r="C17" t="s">
        <v>71</v>
      </c>
      <c r="D17" s="3" t="s">
        <v>72</v>
      </c>
      <c r="E17" s="2">
        <v>25027</v>
      </c>
      <c r="F17" s="2">
        <v>19.899999999999999</v>
      </c>
      <c r="G17" s="4">
        <v>36</v>
      </c>
      <c r="H17" t="s">
        <v>19</v>
      </c>
      <c r="I17" t="s">
        <v>73</v>
      </c>
      <c r="J17" t="s">
        <v>21</v>
      </c>
      <c r="K17" s="2">
        <v>81759</v>
      </c>
      <c r="L17" t="s">
        <v>33</v>
      </c>
      <c r="M17" s="2">
        <v>0.47</v>
      </c>
      <c r="N17" s="2">
        <v>0.94</v>
      </c>
      <c r="O17" s="2">
        <v>30007.37</v>
      </c>
      <c r="P17" s="2">
        <v>0</v>
      </c>
      <c r="Q17">
        <f t="shared" si="0"/>
        <v>26624.468085106386</v>
      </c>
      <c r="R17">
        <f t="shared" ca="1" si="1"/>
        <v>61</v>
      </c>
      <c r="S17" s="2">
        <f t="shared" si="2"/>
        <v>4980.369999999999</v>
      </c>
      <c r="T17" s="18">
        <v>0.1</v>
      </c>
      <c r="U17">
        <f t="shared" si="3"/>
        <v>5478.4069999999992</v>
      </c>
    </row>
    <row r="18" spans="1:21" x14ac:dyDescent="0.3">
      <c r="A18" t="s">
        <v>74</v>
      </c>
      <c r="B18" s="1">
        <v>44449</v>
      </c>
      <c r="C18" t="s">
        <v>75</v>
      </c>
      <c r="D18" s="3" t="s">
        <v>76</v>
      </c>
      <c r="E18" s="2">
        <v>30373</v>
      </c>
      <c r="F18" s="2">
        <v>18.2</v>
      </c>
      <c r="G18" s="4">
        <v>60</v>
      </c>
      <c r="H18" t="s">
        <v>26</v>
      </c>
      <c r="I18" t="s">
        <v>20</v>
      </c>
      <c r="J18" t="s">
        <v>28</v>
      </c>
      <c r="K18" s="2">
        <v>71153</v>
      </c>
      <c r="L18" t="s">
        <v>22</v>
      </c>
      <c r="M18" s="2">
        <v>0.22</v>
      </c>
      <c r="N18" s="2">
        <v>0.83</v>
      </c>
      <c r="O18" s="2">
        <v>8244.83</v>
      </c>
      <c r="P18" s="2">
        <v>0</v>
      </c>
      <c r="Q18">
        <f t="shared" si="0"/>
        <v>36593.975903614461</v>
      </c>
      <c r="R18">
        <f t="shared" ca="1" si="1"/>
        <v>54</v>
      </c>
      <c r="S18" s="2">
        <f t="shared" si="2"/>
        <v>-22128.17</v>
      </c>
      <c r="T18" s="18">
        <v>0.1</v>
      </c>
      <c r="U18">
        <f t="shared" si="3"/>
        <v>-24340.987000000001</v>
      </c>
    </row>
    <row r="19" spans="1:21" x14ac:dyDescent="0.3">
      <c r="A19" t="s">
        <v>77</v>
      </c>
      <c r="B19" s="1">
        <v>44944</v>
      </c>
      <c r="C19" t="s">
        <v>78</v>
      </c>
      <c r="D19" s="3" t="s">
        <v>18</v>
      </c>
      <c r="E19" s="2">
        <v>37397</v>
      </c>
      <c r="F19" s="2">
        <v>21</v>
      </c>
      <c r="G19" s="4">
        <v>60</v>
      </c>
      <c r="H19" t="s">
        <v>19</v>
      </c>
      <c r="I19" t="s">
        <v>73</v>
      </c>
      <c r="J19" t="s">
        <v>37</v>
      </c>
      <c r="K19" s="2">
        <v>107535</v>
      </c>
      <c r="L19" t="s">
        <v>29</v>
      </c>
      <c r="M19" s="2">
        <v>0.2</v>
      </c>
      <c r="N19" s="2">
        <v>0.81</v>
      </c>
      <c r="O19" s="2">
        <v>45250.37</v>
      </c>
      <c r="P19" s="2">
        <v>0</v>
      </c>
      <c r="Q19">
        <f t="shared" si="0"/>
        <v>46169.135802469136</v>
      </c>
      <c r="R19">
        <f t="shared" ca="1" si="1"/>
        <v>38</v>
      </c>
      <c r="S19" s="2">
        <f t="shared" si="2"/>
        <v>7853.3700000000026</v>
      </c>
      <c r="T19" s="18">
        <v>0.1</v>
      </c>
      <c r="U19">
        <f t="shared" si="3"/>
        <v>8638.707000000004</v>
      </c>
    </row>
    <row r="20" spans="1:21" x14ac:dyDescent="0.3">
      <c r="A20" t="s">
        <v>79</v>
      </c>
      <c r="B20" s="1">
        <v>45053</v>
      </c>
      <c r="C20" t="s">
        <v>80</v>
      </c>
      <c r="D20" s="3" t="s">
        <v>76</v>
      </c>
      <c r="E20" s="2">
        <v>21609</v>
      </c>
      <c r="F20" s="2">
        <v>7.1</v>
      </c>
      <c r="G20" s="4">
        <v>60</v>
      </c>
      <c r="H20" t="s">
        <v>81</v>
      </c>
      <c r="I20" t="s">
        <v>36</v>
      </c>
      <c r="J20" t="s">
        <v>47</v>
      </c>
      <c r="K20" s="2">
        <v>132023</v>
      </c>
      <c r="L20" t="s">
        <v>22</v>
      </c>
      <c r="M20" s="2">
        <v>0.36</v>
      </c>
      <c r="N20" s="2">
        <v>0.88</v>
      </c>
      <c r="O20" s="2">
        <v>2771.85</v>
      </c>
      <c r="P20" s="2">
        <v>10111.4</v>
      </c>
      <c r="Q20">
        <f t="shared" si="0"/>
        <v>24555.68181818182</v>
      </c>
      <c r="R20">
        <f t="shared" ca="1" si="1"/>
        <v>34</v>
      </c>
      <c r="S20" s="2">
        <f t="shared" si="2"/>
        <v>-8725.75</v>
      </c>
      <c r="T20" s="18">
        <v>0.1</v>
      </c>
      <c r="U20">
        <f t="shared" si="3"/>
        <v>-9598.3250000000007</v>
      </c>
    </row>
    <row r="21" spans="1:21" x14ac:dyDescent="0.3">
      <c r="A21" t="s">
        <v>82</v>
      </c>
      <c r="B21" s="1">
        <v>44671</v>
      </c>
      <c r="C21" t="s">
        <v>83</v>
      </c>
      <c r="D21" s="3" t="s">
        <v>46</v>
      </c>
      <c r="E21" s="2">
        <v>36835</v>
      </c>
      <c r="F21" s="2">
        <v>5.7</v>
      </c>
      <c r="G21" s="4">
        <v>60</v>
      </c>
      <c r="H21" t="s">
        <v>81</v>
      </c>
      <c r="I21" t="s">
        <v>84</v>
      </c>
      <c r="J21" t="s">
        <v>21</v>
      </c>
      <c r="K21" s="2">
        <v>32581</v>
      </c>
      <c r="L21" t="s">
        <v>33</v>
      </c>
      <c r="M21" s="2">
        <v>0.35</v>
      </c>
      <c r="N21" s="2">
        <v>0.55000000000000004</v>
      </c>
      <c r="O21" s="2">
        <v>5580.8</v>
      </c>
      <c r="P21" s="2">
        <v>9880.57</v>
      </c>
      <c r="Q21">
        <f t="shared" si="0"/>
        <v>66972.727272727265</v>
      </c>
      <c r="R21">
        <f t="shared" ca="1" si="1"/>
        <v>46</v>
      </c>
      <c r="S21" s="2">
        <f t="shared" si="2"/>
        <v>-21373.63</v>
      </c>
      <c r="T21" s="18">
        <v>0.1</v>
      </c>
      <c r="U21">
        <f t="shared" si="3"/>
        <v>-23510.993000000002</v>
      </c>
    </row>
    <row r="22" spans="1:21" x14ac:dyDescent="0.3">
      <c r="A22" t="s">
        <v>85</v>
      </c>
      <c r="B22" s="1">
        <v>45279</v>
      </c>
      <c r="C22" t="s">
        <v>86</v>
      </c>
      <c r="D22" s="3" t="s">
        <v>76</v>
      </c>
      <c r="E22" s="2">
        <v>39709</v>
      </c>
      <c r="F22" s="2">
        <v>15.2</v>
      </c>
      <c r="G22" s="4">
        <v>36</v>
      </c>
      <c r="H22" t="s">
        <v>19</v>
      </c>
      <c r="I22" t="s">
        <v>36</v>
      </c>
      <c r="J22" t="s">
        <v>28</v>
      </c>
      <c r="K22" s="2">
        <v>81717</v>
      </c>
      <c r="L22" t="s">
        <v>33</v>
      </c>
      <c r="M22" s="2">
        <v>0.23</v>
      </c>
      <c r="N22" s="2">
        <v>0.82</v>
      </c>
      <c r="O22" s="2">
        <v>45744.77</v>
      </c>
      <c r="P22" s="2">
        <v>0</v>
      </c>
      <c r="Q22">
        <f t="shared" si="0"/>
        <v>48425.609756097561</v>
      </c>
      <c r="R22">
        <f t="shared" ca="1" si="1"/>
        <v>27</v>
      </c>
      <c r="S22" s="2">
        <f t="shared" si="2"/>
        <v>6035.7699999999968</v>
      </c>
      <c r="T22" s="18">
        <v>0.1</v>
      </c>
      <c r="U22">
        <f t="shared" si="3"/>
        <v>6639.346999999997</v>
      </c>
    </row>
    <row r="23" spans="1:21" x14ac:dyDescent="0.3">
      <c r="A23" t="s">
        <v>87</v>
      </c>
      <c r="B23" s="1">
        <v>44707</v>
      </c>
      <c r="C23" t="s">
        <v>88</v>
      </c>
      <c r="D23" s="3" t="s">
        <v>56</v>
      </c>
      <c r="E23" s="2">
        <v>20250</v>
      </c>
      <c r="F23" s="2">
        <v>12.8</v>
      </c>
      <c r="G23" s="4">
        <v>60</v>
      </c>
      <c r="H23" t="s">
        <v>19</v>
      </c>
      <c r="I23" t="s">
        <v>36</v>
      </c>
      <c r="J23" t="s">
        <v>32</v>
      </c>
      <c r="K23" s="2">
        <v>32763</v>
      </c>
      <c r="L23" t="s">
        <v>22</v>
      </c>
      <c r="M23" s="2">
        <v>0.47</v>
      </c>
      <c r="N23" s="2">
        <v>0.73</v>
      </c>
      <c r="O23" s="2">
        <v>22842</v>
      </c>
      <c r="P23" s="2">
        <v>0</v>
      </c>
      <c r="Q23">
        <f t="shared" si="0"/>
        <v>27739.726027397261</v>
      </c>
      <c r="R23">
        <f t="shared" ca="1" si="1"/>
        <v>45</v>
      </c>
      <c r="S23" s="2">
        <f t="shared" si="2"/>
        <v>2592</v>
      </c>
      <c r="T23" s="18">
        <v>0.1</v>
      </c>
      <c r="U23">
        <f t="shared" si="3"/>
        <v>2851.2000000000003</v>
      </c>
    </row>
    <row r="24" spans="1:21" x14ac:dyDescent="0.3">
      <c r="A24" t="s">
        <v>89</v>
      </c>
      <c r="B24" s="1">
        <v>44896</v>
      </c>
      <c r="C24" t="s">
        <v>90</v>
      </c>
      <c r="D24" s="3" t="s">
        <v>72</v>
      </c>
      <c r="E24" s="2">
        <v>22172</v>
      </c>
      <c r="F24" s="2">
        <v>14.2</v>
      </c>
      <c r="G24" s="4">
        <v>60</v>
      </c>
      <c r="H24" t="s">
        <v>26</v>
      </c>
      <c r="I24" t="s">
        <v>20</v>
      </c>
      <c r="J24" t="s">
        <v>28</v>
      </c>
      <c r="K24" s="2">
        <v>122910</v>
      </c>
      <c r="L24" t="s">
        <v>33</v>
      </c>
      <c r="M24" s="2">
        <v>0.44</v>
      </c>
      <c r="N24" s="2">
        <v>0.87</v>
      </c>
      <c r="O24" s="2">
        <v>2131.63</v>
      </c>
      <c r="P24" s="2">
        <v>0</v>
      </c>
      <c r="Q24">
        <f t="shared" si="0"/>
        <v>25485.057471264368</v>
      </c>
      <c r="R24">
        <f t="shared" ca="1" si="1"/>
        <v>39</v>
      </c>
      <c r="S24" s="2">
        <f t="shared" si="2"/>
        <v>-20040.37</v>
      </c>
      <c r="T24" s="18">
        <v>0.1</v>
      </c>
      <c r="U24">
        <f t="shared" si="3"/>
        <v>-22044.406999999999</v>
      </c>
    </row>
    <row r="25" spans="1:21" x14ac:dyDescent="0.3">
      <c r="A25" t="s">
        <v>91</v>
      </c>
      <c r="B25" s="1">
        <v>45172</v>
      </c>
      <c r="C25" t="s">
        <v>92</v>
      </c>
      <c r="D25" s="3" t="s">
        <v>53</v>
      </c>
      <c r="E25" s="2">
        <v>12555</v>
      </c>
      <c r="F25" s="2">
        <v>24.8</v>
      </c>
      <c r="G25" s="4">
        <v>36</v>
      </c>
      <c r="H25" t="s">
        <v>19</v>
      </c>
      <c r="I25" t="s">
        <v>20</v>
      </c>
      <c r="J25" t="s">
        <v>37</v>
      </c>
      <c r="K25" s="2">
        <v>85480</v>
      </c>
      <c r="L25" t="s">
        <v>22</v>
      </c>
      <c r="M25" s="2">
        <v>0.19</v>
      </c>
      <c r="N25" s="2">
        <v>0.73</v>
      </c>
      <c r="O25" s="2">
        <v>15668.64</v>
      </c>
      <c r="P25" s="2">
        <v>0</v>
      </c>
      <c r="Q25">
        <f t="shared" si="0"/>
        <v>17198.630136986303</v>
      </c>
      <c r="R25">
        <f t="shared" ca="1" si="1"/>
        <v>30</v>
      </c>
      <c r="S25" s="2">
        <f t="shared" si="2"/>
        <v>3113.6399999999994</v>
      </c>
      <c r="T25" s="18">
        <v>0.1</v>
      </c>
      <c r="U25">
        <f t="shared" si="3"/>
        <v>3425.0039999999995</v>
      </c>
    </row>
    <row r="26" spans="1:21" x14ac:dyDescent="0.3">
      <c r="A26" t="s">
        <v>93</v>
      </c>
      <c r="B26" s="1">
        <v>44386</v>
      </c>
      <c r="C26" t="s">
        <v>94</v>
      </c>
      <c r="D26" s="3" t="s">
        <v>72</v>
      </c>
      <c r="E26" s="2">
        <v>22874</v>
      </c>
      <c r="F26" s="2">
        <v>24.4</v>
      </c>
      <c r="G26" s="4">
        <v>60</v>
      </c>
      <c r="H26" t="s">
        <v>19</v>
      </c>
      <c r="I26" t="s">
        <v>73</v>
      </c>
      <c r="J26" t="s">
        <v>47</v>
      </c>
      <c r="K26" s="2">
        <v>68759</v>
      </c>
      <c r="L26" t="s">
        <v>33</v>
      </c>
      <c r="M26" s="2">
        <v>0.2</v>
      </c>
      <c r="N26" s="2">
        <v>0.78</v>
      </c>
      <c r="O26" s="2">
        <v>28455.26</v>
      </c>
      <c r="P26" s="2">
        <v>0</v>
      </c>
      <c r="Q26">
        <f t="shared" si="0"/>
        <v>29325.641025641024</v>
      </c>
      <c r="R26">
        <f t="shared" ca="1" si="1"/>
        <v>56</v>
      </c>
      <c r="S26" s="2">
        <f t="shared" si="2"/>
        <v>5581.2599999999984</v>
      </c>
      <c r="T26" s="18">
        <v>0.1</v>
      </c>
      <c r="U26">
        <f t="shared" si="3"/>
        <v>6139.3859999999986</v>
      </c>
    </row>
    <row r="27" spans="1:21" x14ac:dyDescent="0.3">
      <c r="A27" t="s">
        <v>95</v>
      </c>
      <c r="B27" s="1">
        <v>45154</v>
      </c>
      <c r="C27" t="s">
        <v>96</v>
      </c>
      <c r="D27" s="3" t="s">
        <v>25</v>
      </c>
      <c r="E27" s="2">
        <v>14081</v>
      </c>
      <c r="F27" s="2">
        <v>23.8</v>
      </c>
      <c r="G27" s="4">
        <v>36</v>
      </c>
      <c r="H27" t="s">
        <v>26</v>
      </c>
      <c r="I27" t="s">
        <v>36</v>
      </c>
      <c r="J27" t="s">
        <v>37</v>
      </c>
      <c r="K27" s="2">
        <v>106067</v>
      </c>
      <c r="L27" t="s">
        <v>33</v>
      </c>
      <c r="M27" s="2">
        <v>0.3</v>
      </c>
      <c r="N27" s="2">
        <v>0.71</v>
      </c>
      <c r="O27" s="2">
        <v>4585.71</v>
      </c>
      <c r="P27" s="2">
        <v>0</v>
      </c>
      <c r="Q27">
        <f t="shared" si="0"/>
        <v>19832.394366197183</v>
      </c>
      <c r="R27">
        <f t="shared" ca="1" si="1"/>
        <v>31</v>
      </c>
      <c r="S27" s="2">
        <f t="shared" si="2"/>
        <v>-9495.2900000000009</v>
      </c>
      <c r="T27" s="18">
        <v>0.1</v>
      </c>
      <c r="U27">
        <f t="shared" si="3"/>
        <v>-10444.819000000001</v>
      </c>
    </row>
    <row r="28" spans="1:21" x14ac:dyDescent="0.3">
      <c r="A28" t="s">
        <v>97</v>
      </c>
      <c r="B28" s="1">
        <v>44883</v>
      </c>
      <c r="C28" t="s">
        <v>98</v>
      </c>
      <c r="D28" s="3" t="s">
        <v>56</v>
      </c>
      <c r="E28" s="2">
        <v>25063</v>
      </c>
      <c r="F28" s="2">
        <v>20.7</v>
      </c>
      <c r="G28" s="4">
        <v>36</v>
      </c>
      <c r="H28" t="s">
        <v>19</v>
      </c>
      <c r="I28" t="s">
        <v>41</v>
      </c>
      <c r="J28" t="s">
        <v>32</v>
      </c>
      <c r="K28" s="2">
        <v>148094</v>
      </c>
      <c r="L28" t="s">
        <v>29</v>
      </c>
      <c r="M28" s="2">
        <v>0.41</v>
      </c>
      <c r="N28" s="2">
        <v>0.72</v>
      </c>
      <c r="O28" s="2">
        <v>30251.040000000001</v>
      </c>
      <c r="P28" s="2">
        <v>0</v>
      </c>
      <c r="Q28">
        <f t="shared" si="0"/>
        <v>34809.722222222226</v>
      </c>
      <c r="R28">
        <f t="shared" ca="1" si="1"/>
        <v>40</v>
      </c>
      <c r="S28" s="2">
        <f t="shared" si="2"/>
        <v>5188.0400000000009</v>
      </c>
      <c r="T28" s="18">
        <v>0.1</v>
      </c>
      <c r="U28">
        <f t="shared" si="3"/>
        <v>5706.8440000000019</v>
      </c>
    </row>
    <row r="29" spans="1:21" x14ac:dyDescent="0.3">
      <c r="A29" t="s">
        <v>99</v>
      </c>
      <c r="B29" s="1">
        <v>45154</v>
      </c>
      <c r="C29" t="s">
        <v>100</v>
      </c>
      <c r="D29" s="3" t="s">
        <v>76</v>
      </c>
      <c r="E29" s="2">
        <v>7819</v>
      </c>
      <c r="F29" s="2">
        <v>12.1</v>
      </c>
      <c r="G29" s="4">
        <v>36</v>
      </c>
      <c r="H29" t="s">
        <v>26</v>
      </c>
      <c r="I29" t="s">
        <v>20</v>
      </c>
      <c r="J29" t="s">
        <v>32</v>
      </c>
      <c r="K29" s="2">
        <v>55307</v>
      </c>
      <c r="L29" t="s">
        <v>22</v>
      </c>
      <c r="M29" s="2">
        <v>0.12</v>
      </c>
      <c r="N29" s="2">
        <v>0.85</v>
      </c>
      <c r="O29" s="2">
        <v>722.43</v>
      </c>
      <c r="P29" s="2">
        <v>0</v>
      </c>
      <c r="Q29">
        <f t="shared" si="0"/>
        <v>9198.8235294117658</v>
      </c>
      <c r="R29">
        <f t="shared" ca="1" si="1"/>
        <v>31</v>
      </c>
      <c r="S29" s="2">
        <f t="shared" si="2"/>
        <v>-7096.57</v>
      </c>
      <c r="T29" s="18">
        <v>0.1</v>
      </c>
      <c r="U29">
        <f t="shared" si="3"/>
        <v>-7806.2269999999999</v>
      </c>
    </row>
    <row r="30" spans="1:21" x14ac:dyDescent="0.3">
      <c r="A30" t="s">
        <v>101</v>
      </c>
      <c r="B30" s="1">
        <v>44759</v>
      </c>
      <c r="C30" t="s">
        <v>102</v>
      </c>
      <c r="D30" s="3" t="s">
        <v>53</v>
      </c>
      <c r="E30" s="2">
        <v>26712</v>
      </c>
      <c r="F30" s="2">
        <v>13.2</v>
      </c>
      <c r="G30" s="4">
        <v>60</v>
      </c>
      <c r="H30" t="s">
        <v>26</v>
      </c>
      <c r="I30" t="s">
        <v>57</v>
      </c>
      <c r="J30" t="s">
        <v>32</v>
      </c>
      <c r="K30" s="2">
        <v>126371</v>
      </c>
      <c r="L30" t="s">
        <v>33</v>
      </c>
      <c r="M30" s="2">
        <v>0.38</v>
      </c>
      <c r="N30" s="2">
        <v>0.78</v>
      </c>
      <c r="O30" s="2">
        <v>10402.379999999999</v>
      </c>
      <c r="P30" s="2">
        <v>0</v>
      </c>
      <c r="Q30">
        <f t="shared" si="0"/>
        <v>34246.153846153844</v>
      </c>
      <c r="R30">
        <f t="shared" ca="1" si="1"/>
        <v>44</v>
      </c>
      <c r="S30" s="2">
        <f t="shared" si="2"/>
        <v>-16309.62</v>
      </c>
      <c r="T30" s="18">
        <v>0.1</v>
      </c>
      <c r="U30">
        <f t="shared" si="3"/>
        <v>-17940.582000000002</v>
      </c>
    </row>
    <row r="31" spans="1:21" x14ac:dyDescent="0.3">
      <c r="A31" t="s">
        <v>103</v>
      </c>
      <c r="B31" s="1">
        <v>45028</v>
      </c>
      <c r="C31" t="s">
        <v>104</v>
      </c>
      <c r="D31" s="3" t="s">
        <v>76</v>
      </c>
      <c r="E31" s="2">
        <v>25762</v>
      </c>
      <c r="F31" s="2">
        <v>16</v>
      </c>
      <c r="G31" s="4">
        <v>36</v>
      </c>
      <c r="H31" t="s">
        <v>19</v>
      </c>
      <c r="I31" t="s">
        <v>20</v>
      </c>
      <c r="J31" t="s">
        <v>32</v>
      </c>
      <c r="K31" s="2">
        <v>41064</v>
      </c>
      <c r="L31" t="s">
        <v>22</v>
      </c>
      <c r="M31" s="2">
        <v>0.36</v>
      </c>
      <c r="N31" s="2">
        <v>0.78</v>
      </c>
      <c r="O31" s="2">
        <v>29883.919999999998</v>
      </c>
      <c r="P31" s="2">
        <v>0</v>
      </c>
      <c r="Q31">
        <f t="shared" si="0"/>
        <v>33028.205128205125</v>
      </c>
      <c r="R31">
        <f t="shared" ca="1" si="1"/>
        <v>35</v>
      </c>
      <c r="S31" s="2">
        <f t="shared" si="2"/>
        <v>4121.9199999999983</v>
      </c>
      <c r="T31" s="18">
        <v>0.1</v>
      </c>
      <c r="U31">
        <f t="shared" si="3"/>
        <v>4534.1119999999983</v>
      </c>
    </row>
    <row r="32" spans="1:21" x14ac:dyDescent="0.3">
      <c r="A32" t="s">
        <v>105</v>
      </c>
      <c r="B32" s="1">
        <v>44843</v>
      </c>
      <c r="C32" t="s">
        <v>106</v>
      </c>
      <c r="D32" s="3" t="s">
        <v>50</v>
      </c>
      <c r="E32" s="2">
        <v>12046</v>
      </c>
      <c r="F32" s="2">
        <v>21.6</v>
      </c>
      <c r="G32" s="4">
        <v>36</v>
      </c>
      <c r="H32" t="s">
        <v>19</v>
      </c>
      <c r="I32" t="s">
        <v>27</v>
      </c>
      <c r="J32" t="s">
        <v>28</v>
      </c>
      <c r="K32" s="2">
        <v>106848</v>
      </c>
      <c r="L32" t="s">
        <v>29</v>
      </c>
      <c r="M32" s="2">
        <v>0.19</v>
      </c>
      <c r="N32" s="2">
        <v>0.7</v>
      </c>
      <c r="O32" s="2">
        <v>14647.94</v>
      </c>
      <c r="P32" s="2">
        <v>0</v>
      </c>
      <c r="Q32">
        <f t="shared" si="0"/>
        <v>17208.571428571431</v>
      </c>
      <c r="R32">
        <f t="shared" ca="1" si="1"/>
        <v>41</v>
      </c>
      <c r="S32" s="2">
        <f t="shared" si="2"/>
        <v>2601.9400000000005</v>
      </c>
      <c r="T32" s="18">
        <v>0.1</v>
      </c>
      <c r="U32">
        <f t="shared" si="3"/>
        <v>2862.1340000000009</v>
      </c>
    </row>
    <row r="33" spans="1:21" x14ac:dyDescent="0.3">
      <c r="A33" t="s">
        <v>107</v>
      </c>
      <c r="B33" s="1">
        <v>44217</v>
      </c>
      <c r="C33" t="s">
        <v>108</v>
      </c>
      <c r="D33" s="3" t="s">
        <v>50</v>
      </c>
      <c r="E33" s="2">
        <v>32463</v>
      </c>
      <c r="F33" s="2">
        <v>6.4</v>
      </c>
      <c r="G33" s="4">
        <v>36</v>
      </c>
      <c r="H33" t="s">
        <v>19</v>
      </c>
      <c r="I33" t="s">
        <v>27</v>
      </c>
      <c r="J33" t="s">
        <v>32</v>
      </c>
      <c r="K33" s="2">
        <v>67548</v>
      </c>
      <c r="L33" t="s">
        <v>22</v>
      </c>
      <c r="M33" s="2">
        <v>0.37</v>
      </c>
      <c r="N33" s="2">
        <v>0.74</v>
      </c>
      <c r="O33" s="2">
        <v>34540.629999999997</v>
      </c>
      <c r="P33" s="2">
        <v>0</v>
      </c>
      <c r="Q33">
        <f t="shared" si="0"/>
        <v>43868.91891891892</v>
      </c>
      <c r="R33">
        <f t="shared" ca="1" si="1"/>
        <v>61</v>
      </c>
      <c r="S33" s="2">
        <f t="shared" si="2"/>
        <v>2077.6299999999974</v>
      </c>
      <c r="T33" s="18">
        <v>0.1</v>
      </c>
      <c r="U33">
        <f t="shared" si="3"/>
        <v>2285.3929999999973</v>
      </c>
    </row>
    <row r="34" spans="1:21" x14ac:dyDescent="0.3">
      <c r="A34" t="s">
        <v>109</v>
      </c>
      <c r="B34" s="1">
        <v>45037</v>
      </c>
      <c r="C34" t="s">
        <v>110</v>
      </c>
      <c r="D34" s="3" t="s">
        <v>40</v>
      </c>
      <c r="E34" s="2">
        <v>29769</v>
      </c>
      <c r="F34" s="2">
        <v>13.5</v>
      </c>
      <c r="G34" s="4">
        <v>60</v>
      </c>
      <c r="H34" t="s">
        <v>26</v>
      </c>
      <c r="I34" t="s">
        <v>20</v>
      </c>
      <c r="J34" t="s">
        <v>32</v>
      </c>
      <c r="K34" s="2">
        <v>66945</v>
      </c>
      <c r="L34" t="s">
        <v>29</v>
      </c>
      <c r="M34" s="2">
        <v>0.48</v>
      </c>
      <c r="N34" s="2">
        <v>0.84</v>
      </c>
      <c r="O34" s="2">
        <v>1763.22</v>
      </c>
      <c r="P34" s="2">
        <v>0</v>
      </c>
      <c r="Q34">
        <f t="shared" si="0"/>
        <v>35439.285714285717</v>
      </c>
      <c r="R34">
        <f t="shared" ca="1" si="1"/>
        <v>34</v>
      </c>
      <c r="S34" s="2">
        <f t="shared" si="2"/>
        <v>-28005.78</v>
      </c>
      <c r="T34" s="18">
        <v>0.1</v>
      </c>
      <c r="U34">
        <f t="shared" si="3"/>
        <v>-30806.358</v>
      </c>
    </row>
    <row r="35" spans="1:21" x14ac:dyDescent="0.3">
      <c r="A35" t="s">
        <v>111</v>
      </c>
      <c r="B35" s="1">
        <v>44363</v>
      </c>
      <c r="C35" t="s">
        <v>112</v>
      </c>
      <c r="D35" s="3" t="s">
        <v>72</v>
      </c>
      <c r="E35" s="2">
        <v>24150</v>
      </c>
      <c r="F35" s="2">
        <v>6.7</v>
      </c>
      <c r="G35" s="4">
        <v>60</v>
      </c>
      <c r="H35" t="s">
        <v>19</v>
      </c>
      <c r="I35" t="s">
        <v>73</v>
      </c>
      <c r="J35" t="s">
        <v>28</v>
      </c>
      <c r="K35" s="2">
        <v>77937</v>
      </c>
      <c r="L35" t="s">
        <v>22</v>
      </c>
      <c r="M35" s="2">
        <v>0.12</v>
      </c>
      <c r="N35" s="2">
        <v>0.87</v>
      </c>
      <c r="O35" s="2">
        <v>25768.05</v>
      </c>
      <c r="P35" s="2">
        <v>0</v>
      </c>
      <c r="Q35">
        <f t="shared" si="0"/>
        <v>27758.620689655174</v>
      </c>
      <c r="R35">
        <f t="shared" ca="1" si="1"/>
        <v>57</v>
      </c>
      <c r="S35" s="2">
        <f t="shared" si="2"/>
        <v>1618.0499999999993</v>
      </c>
      <c r="T35" s="18">
        <v>0.1</v>
      </c>
      <c r="U35">
        <f t="shared" si="3"/>
        <v>1779.8549999999993</v>
      </c>
    </row>
    <row r="36" spans="1:21" x14ac:dyDescent="0.3">
      <c r="A36" t="s">
        <v>113</v>
      </c>
      <c r="B36" s="1">
        <v>44584</v>
      </c>
      <c r="C36" t="s">
        <v>114</v>
      </c>
      <c r="D36" s="3" t="s">
        <v>53</v>
      </c>
      <c r="E36" s="2">
        <v>3711</v>
      </c>
      <c r="F36" s="2">
        <v>15.3</v>
      </c>
      <c r="G36" s="4">
        <v>60</v>
      </c>
      <c r="H36" t="s">
        <v>81</v>
      </c>
      <c r="I36" t="s">
        <v>27</v>
      </c>
      <c r="J36" t="s">
        <v>32</v>
      </c>
      <c r="K36" s="2">
        <v>36476</v>
      </c>
      <c r="L36" t="s">
        <v>22</v>
      </c>
      <c r="M36" s="2">
        <v>0.23</v>
      </c>
      <c r="N36" s="2">
        <v>0.81</v>
      </c>
      <c r="O36" s="2">
        <v>648.73</v>
      </c>
      <c r="P36" s="2">
        <v>938.22</v>
      </c>
      <c r="Q36">
        <f t="shared" si="0"/>
        <v>4581.4814814814808</v>
      </c>
      <c r="R36">
        <f t="shared" ca="1" si="1"/>
        <v>49</v>
      </c>
      <c r="S36" s="2">
        <f t="shared" si="2"/>
        <v>-2124.0500000000002</v>
      </c>
      <c r="T36" s="18">
        <v>0.1</v>
      </c>
      <c r="U36">
        <f t="shared" si="3"/>
        <v>-2336.4550000000004</v>
      </c>
    </row>
    <row r="37" spans="1:21" x14ac:dyDescent="0.3">
      <c r="A37" t="s">
        <v>115</v>
      </c>
      <c r="B37" s="1">
        <v>44797</v>
      </c>
      <c r="C37" t="s">
        <v>116</v>
      </c>
      <c r="D37" s="3" t="s">
        <v>50</v>
      </c>
      <c r="E37" s="2">
        <v>5853</v>
      </c>
      <c r="F37" s="2">
        <v>23</v>
      </c>
      <c r="G37" s="4">
        <v>60</v>
      </c>
      <c r="H37" t="s">
        <v>19</v>
      </c>
      <c r="I37" t="s">
        <v>27</v>
      </c>
      <c r="J37" t="s">
        <v>37</v>
      </c>
      <c r="K37" s="2">
        <v>81756</v>
      </c>
      <c r="L37" t="s">
        <v>29</v>
      </c>
      <c r="M37" s="2">
        <v>0.28000000000000003</v>
      </c>
      <c r="N37" s="2">
        <v>0.92</v>
      </c>
      <c r="O37" s="2">
        <v>7199.19</v>
      </c>
      <c r="P37" s="2">
        <v>0</v>
      </c>
      <c r="Q37">
        <f t="shared" si="0"/>
        <v>6361.95652173913</v>
      </c>
      <c r="R37">
        <f t="shared" ca="1" si="1"/>
        <v>42</v>
      </c>
      <c r="S37" s="2">
        <f t="shared" si="2"/>
        <v>1346.1899999999996</v>
      </c>
      <c r="T37" s="18">
        <v>0.1</v>
      </c>
      <c r="U37">
        <f t="shared" si="3"/>
        <v>1480.8089999999997</v>
      </c>
    </row>
    <row r="38" spans="1:21" x14ac:dyDescent="0.3">
      <c r="A38" t="s">
        <v>117</v>
      </c>
      <c r="B38" s="1">
        <v>44512</v>
      </c>
      <c r="C38" t="s">
        <v>118</v>
      </c>
      <c r="D38" s="3" t="s">
        <v>40</v>
      </c>
      <c r="E38" s="2">
        <v>30077</v>
      </c>
      <c r="F38" s="2">
        <v>20.6</v>
      </c>
      <c r="G38" s="4">
        <v>60</v>
      </c>
      <c r="H38" t="s">
        <v>19</v>
      </c>
      <c r="I38" t="s">
        <v>20</v>
      </c>
      <c r="J38" t="s">
        <v>37</v>
      </c>
      <c r="K38" s="2">
        <v>120101</v>
      </c>
      <c r="L38" t="s">
        <v>33</v>
      </c>
      <c r="M38" s="2">
        <v>0.46</v>
      </c>
      <c r="N38" s="2">
        <v>0.87</v>
      </c>
      <c r="O38" s="2">
        <v>36272.86</v>
      </c>
      <c r="P38" s="2">
        <v>0</v>
      </c>
      <c r="Q38">
        <f t="shared" si="0"/>
        <v>34571.264367816089</v>
      </c>
      <c r="R38">
        <f t="shared" ca="1" si="1"/>
        <v>52</v>
      </c>
      <c r="S38" s="2">
        <f t="shared" si="2"/>
        <v>6195.8600000000006</v>
      </c>
      <c r="T38" s="18">
        <v>0.1</v>
      </c>
      <c r="U38">
        <f t="shared" si="3"/>
        <v>6815.4460000000008</v>
      </c>
    </row>
    <row r="39" spans="1:21" x14ac:dyDescent="0.3">
      <c r="A39" t="s">
        <v>119</v>
      </c>
      <c r="B39" s="1">
        <v>44210</v>
      </c>
      <c r="C39" t="s">
        <v>120</v>
      </c>
      <c r="D39" s="3" t="s">
        <v>56</v>
      </c>
      <c r="E39" s="2">
        <v>24863</v>
      </c>
      <c r="F39" s="2">
        <v>9.6</v>
      </c>
      <c r="G39" s="4">
        <v>60</v>
      </c>
      <c r="H39" t="s">
        <v>19</v>
      </c>
      <c r="I39" t="s">
        <v>36</v>
      </c>
      <c r="J39" t="s">
        <v>21</v>
      </c>
      <c r="K39" s="2">
        <v>32382</v>
      </c>
      <c r="L39" t="s">
        <v>33</v>
      </c>
      <c r="M39" s="2">
        <v>0.48</v>
      </c>
      <c r="N39" s="2">
        <v>0.75</v>
      </c>
      <c r="O39" s="2">
        <v>27249.85</v>
      </c>
      <c r="P39" s="2">
        <v>0</v>
      </c>
      <c r="Q39">
        <f t="shared" si="0"/>
        <v>33150.666666666664</v>
      </c>
      <c r="R39">
        <f t="shared" ca="1" si="1"/>
        <v>62</v>
      </c>
      <c r="S39" s="2">
        <f t="shared" si="2"/>
        <v>2386.8499999999985</v>
      </c>
      <c r="T39" s="18">
        <v>0.1</v>
      </c>
      <c r="U39">
        <f t="shared" si="3"/>
        <v>2625.5349999999985</v>
      </c>
    </row>
    <row r="40" spans="1:21" x14ac:dyDescent="0.3">
      <c r="A40" t="s">
        <v>121</v>
      </c>
      <c r="B40" s="1">
        <v>44438</v>
      </c>
      <c r="C40" t="s">
        <v>122</v>
      </c>
      <c r="D40" s="3" t="s">
        <v>53</v>
      </c>
      <c r="E40" s="2">
        <v>22792</v>
      </c>
      <c r="F40" s="2">
        <v>24.5</v>
      </c>
      <c r="G40" s="4">
        <v>60</v>
      </c>
      <c r="H40" t="s">
        <v>19</v>
      </c>
      <c r="I40" t="s">
        <v>73</v>
      </c>
      <c r="J40" t="s">
        <v>37</v>
      </c>
      <c r="K40" s="2">
        <v>79683</v>
      </c>
      <c r="L40" t="s">
        <v>33</v>
      </c>
      <c r="M40" s="2">
        <v>0.28000000000000003</v>
      </c>
      <c r="N40" s="2">
        <v>0.8</v>
      </c>
      <c r="O40" s="2">
        <v>28376.04</v>
      </c>
      <c r="P40" s="2">
        <v>0</v>
      </c>
      <c r="Q40">
        <f t="shared" si="0"/>
        <v>28490</v>
      </c>
      <c r="R40">
        <f t="shared" ca="1" si="1"/>
        <v>54</v>
      </c>
      <c r="S40" s="2">
        <f t="shared" si="2"/>
        <v>5584.0400000000009</v>
      </c>
      <c r="T40" s="18">
        <v>0.1</v>
      </c>
      <c r="U40">
        <f t="shared" si="3"/>
        <v>6142.4440000000013</v>
      </c>
    </row>
    <row r="41" spans="1:21" x14ac:dyDescent="0.3">
      <c r="A41" t="s">
        <v>123</v>
      </c>
      <c r="B41" s="1">
        <v>44973</v>
      </c>
      <c r="C41" t="s">
        <v>124</v>
      </c>
      <c r="D41" s="3" t="s">
        <v>40</v>
      </c>
      <c r="E41" s="2">
        <v>9942</v>
      </c>
      <c r="F41" s="2">
        <v>18.3</v>
      </c>
      <c r="G41" s="4">
        <v>36</v>
      </c>
      <c r="H41" t="s">
        <v>19</v>
      </c>
      <c r="I41" t="s">
        <v>84</v>
      </c>
      <c r="J41" t="s">
        <v>47</v>
      </c>
      <c r="K41" s="2">
        <v>117999</v>
      </c>
      <c r="L41" t="s">
        <v>22</v>
      </c>
      <c r="M41" s="2">
        <v>0.4</v>
      </c>
      <c r="N41" s="2">
        <v>0.92</v>
      </c>
      <c r="O41" s="2">
        <v>11761.39</v>
      </c>
      <c r="P41" s="2">
        <v>0</v>
      </c>
      <c r="Q41">
        <f t="shared" si="0"/>
        <v>10806.521739130434</v>
      </c>
      <c r="R41">
        <f t="shared" ca="1" si="1"/>
        <v>37</v>
      </c>
      <c r="S41" s="2">
        <f t="shared" si="2"/>
        <v>1819.3899999999994</v>
      </c>
      <c r="T41" s="18">
        <v>0.1</v>
      </c>
      <c r="U41">
        <f t="shared" si="3"/>
        <v>2001.3289999999995</v>
      </c>
    </row>
    <row r="42" spans="1:21" x14ac:dyDescent="0.3">
      <c r="A42" t="s">
        <v>125</v>
      </c>
      <c r="B42" s="1">
        <v>44761</v>
      </c>
      <c r="C42" t="s">
        <v>126</v>
      </c>
      <c r="D42" s="3" t="s">
        <v>18</v>
      </c>
      <c r="E42" s="2">
        <v>2762</v>
      </c>
      <c r="F42" s="2">
        <v>5.2</v>
      </c>
      <c r="G42" s="4">
        <v>36</v>
      </c>
      <c r="H42" t="s">
        <v>26</v>
      </c>
      <c r="I42" t="s">
        <v>84</v>
      </c>
      <c r="J42" t="s">
        <v>47</v>
      </c>
      <c r="K42" s="2">
        <v>75276</v>
      </c>
      <c r="L42" t="s">
        <v>22</v>
      </c>
      <c r="M42" s="2">
        <v>0.31</v>
      </c>
      <c r="N42" s="2">
        <v>0.78</v>
      </c>
      <c r="O42" s="2">
        <v>1245.1099999999999</v>
      </c>
      <c r="P42" s="2">
        <v>0</v>
      </c>
      <c r="Q42">
        <f t="shared" si="0"/>
        <v>3541.0256410256411</v>
      </c>
      <c r="R42">
        <f t="shared" ca="1" si="1"/>
        <v>44</v>
      </c>
      <c r="S42" s="2">
        <f t="shared" si="2"/>
        <v>-1516.89</v>
      </c>
      <c r="T42" s="18">
        <v>0.1</v>
      </c>
      <c r="U42">
        <f t="shared" si="3"/>
        <v>-1668.5790000000002</v>
      </c>
    </row>
    <row r="43" spans="1:21" x14ac:dyDescent="0.3">
      <c r="A43" t="s">
        <v>127</v>
      </c>
      <c r="B43" s="1">
        <v>45094</v>
      </c>
      <c r="C43" t="s">
        <v>128</v>
      </c>
      <c r="D43" s="3" t="s">
        <v>53</v>
      </c>
      <c r="E43" s="2">
        <v>32987</v>
      </c>
      <c r="F43" s="2">
        <v>10.1</v>
      </c>
      <c r="G43" s="4">
        <v>36</v>
      </c>
      <c r="H43" t="s">
        <v>19</v>
      </c>
      <c r="I43" t="s">
        <v>20</v>
      </c>
      <c r="J43" t="s">
        <v>47</v>
      </c>
      <c r="K43" s="2">
        <v>63402</v>
      </c>
      <c r="L43" t="s">
        <v>33</v>
      </c>
      <c r="M43" s="2">
        <v>0.32</v>
      </c>
      <c r="N43" s="2">
        <v>0.87</v>
      </c>
      <c r="O43" s="2">
        <v>36318.69</v>
      </c>
      <c r="P43" s="2">
        <v>0</v>
      </c>
      <c r="Q43">
        <f t="shared" si="0"/>
        <v>37916.091954022988</v>
      </c>
      <c r="R43">
        <f t="shared" ca="1" si="1"/>
        <v>33</v>
      </c>
      <c r="S43" s="2">
        <f t="shared" si="2"/>
        <v>3331.6900000000023</v>
      </c>
      <c r="T43" s="18">
        <v>0.1</v>
      </c>
      <c r="U43">
        <f t="shared" si="3"/>
        <v>3664.8590000000027</v>
      </c>
    </row>
    <row r="44" spans="1:21" x14ac:dyDescent="0.3">
      <c r="A44" t="s">
        <v>129</v>
      </c>
      <c r="B44" s="1">
        <v>44288</v>
      </c>
      <c r="C44" t="s">
        <v>130</v>
      </c>
      <c r="D44" s="3" t="s">
        <v>46</v>
      </c>
      <c r="E44" s="2">
        <v>16850</v>
      </c>
      <c r="F44" s="2">
        <v>10.199999999999999</v>
      </c>
      <c r="G44" s="4">
        <v>36</v>
      </c>
      <c r="H44" t="s">
        <v>19</v>
      </c>
      <c r="I44" t="s">
        <v>20</v>
      </c>
      <c r="J44" t="s">
        <v>28</v>
      </c>
      <c r="K44" s="2">
        <v>121881</v>
      </c>
      <c r="L44" t="s">
        <v>22</v>
      </c>
      <c r="M44" s="2">
        <v>0.21</v>
      </c>
      <c r="N44" s="2">
        <v>0.81</v>
      </c>
      <c r="O44" s="2">
        <v>18568.7</v>
      </c>
      <c r="P44" s="2">
        <v>0</v>
      </c>
      <c r="Q44">
        <f t="shared" si="0"/>
        <v>20802.469135802468</v>
      </c>
      <c r="R44">
        <f t="shared" ca="1" si="1"/>
        <v>59</v>
      </c>
      <c r="S44" s="2">
        <f t="shared" si="2"/>
        <v>1718.7000000000007</v>
      </c>
      <c r="T44" s="18">
        <v>0.1</v>
      </c>
      <c r="U44">
        <f t="shared" si="3"/>
        <v>1890.5700000000008</v>
      </c>
    </row>
    <row r="45" spans="1:21" x14ac:dyDescent="0.3">
      <c r="A45" t="s">
        <v>131</v>
      </c>
      <c r="B45" s="1">
        <v>45152</v>
      </c>
      <c r="C45" t="s">
        <v>132</v>
      </c>
      <c r="D45" s="3" t="s">
        <v>40</v>
      </c>
      <c r="E45" s="2">
        <v>13112</v>
      </c>
      <c r="F45" s="2">
        <v>6.4</v>
      </c>
      <c r="G45" s="4">
        <v>60</v>
      </c>
      <c r="H45" t="s">
        <v>19</v>
      </c>
      <c r="I45" t="s">
        <v>27</v>
      </c>
      <c r="J45" t="s">
        <v>37</v>
      </c>
      <c r="K45" s="2">
        <v>140300</v>
      </c>
      <c r="L45" t="s">
        <v>22</v>
      </c>
      <c r="M45" s="2">
        <v>0.19</v>
      </c>
      <c r="N45" s="2">
        <v>0.75</v>
      </c>
      <c r="O45" s="2">
        <v>13951.17</v>
      </c>
      <c r="P45" s="2">
        <v>0</v>
      </c>
      <c r="Q45">
        <f t="shared" si="0"/>
        <v>17482.666666666668</v>
      </c>
      <c r="R45">
        <f t="shared" ca="1" si="1"/>
        <v>31</v>
      </c>
      <c r="S45" s="2">
        <f t="shared" si="2"/>
        <v>839.17000000000007</v>
      </c>
      <c r="T45" s="18">
        <v>0.1</v>
      </c>
      <c r="U45">
        <f t="shared" si="3"/>
        <v>923.0870000000001</v>
      </c>
    </row>
    <row r="46" spans="1:21" x14ac:dyDescent="0.3">
      <c r="A46" t="s">
        <v>133</v>
      </c>
      <c r="B46" s="1">
        <v>44705</v>
      </c>
      <c r="C46" t="s">
        <v>134</v>
      </c>
      <c r="D46" s="3" t="s">
        <v>76</v>
      </c>
      <c r="E46" s="2">
        <v>25058</v>
      </c>
      <c r="F46" s="2">
        <v>24.2</v>
      </c>
      <c r="G46" s="4">
        <v>36</v>
      </c>
      <c r="H46" t="s">
        <v>26</v>
      </c>
      <c r="I46" t="s">
        <v>20</v>
      </c>
      <c r="J46" t="s">
        <v>47</v>
      </c>
      <c r="K46" s="2">
        <v>56946</v>
      </c>
      <c r="L46" t="s">
        <v>33</v>
      </c>
      <c r="M46" s="2">
        <v>0.22</v>
      </c>
      <c r="N46" s="2">
        <v>0.61</v>
      </c>
      <c r="O46" s="2">
        <v>9355.1299999999992</v>
      </c>
      <c r="P46" s="2">
        <v>0</v>
      </c>
      <c r="Q46">
        <f t="shared" si="0"/>
        <v>41078.688524590165</v>
      </c>
      <c r="R46">
        <f t="shared" ca="1" si="1"/>
        <v>45</v>
      </c>
      <c r="S46" s="2">
        <f t="shared" si="2"/>
        <v>-15702.87</v>
      </c>
      <c r="T46" s="18">
        <v>0.1</v>
      </c>
      <c r="U46">
        <f t="shared" si="3"/>
        <v>-17273.157000000003</v>
      </c>
    </row>
    <row r="47" spans="1:21" x14ac:dyDescent="0.3">
      <c r="A47" t="s">
        <v>135</v>
      </c>
      <c r="B47" s="1">
        <v>44972</v>
      </c>
      <c r="C47" t="s">
        <v>136</v>
      </c>
      <c r="D47" s="3" t="s">
        <v>46</v>
      </c>
      <c r="E47" s="2">
        <v>39890</v>
      </c>
      <c r="F47" s="2">
        <v>14.6</v>
      </c>
      <c r="G47" s="4">
        <v>36</v>
      </c>
      <c r="H47" t="s">
        <v>26</v>
      </c>
      <c r="I47" t="s">
        <v>84</v>
      </c>
      <c r="J47" t="s">
        <v>21</v>
      </c>
      <c r="K47" s="2">
        <v>109698</v>
      </c>
      <c r="L47" t="s">
        <v>29</v>
      </c>
      <c r="M47" s="2">
        <v>0.32</v>
      </c>
      <c r="N47" s="2">
        <v>0.69</v>
      </c>
      <c r="O47" s="2">
        <v>3304.32</v>
      </c>
      <c r="P47" s="2">
        <v>0</v>
      </c>
      <c r="Q47">
        <f t="shared" si="0"/>
        <v>57811.594202898552</v>
      </c>
      <c r="R47">
        <f t="shared" ca="1" si="1"/>
        <v>37</v>
      </c>
      <c r="S47" s="2">
        <f t="shared" si="2"/>
        <v>-36585.68</v>
      </c>
      <c r="T47" s="18">
        <v>0.1</v>
      </c>
      <c r="U47">
        <f t="shared" si="3"/>
        <v>-40244.248000000007</v>
      </c>
    </row>
    <row r="48" spans="1:21" x14ac:dyDescent="0.3">
      <c r="A48" t="s">
        <v>137</v>
      </c>
      <c r="B48" s="1">
        <v>44231</v>
      </c>
      <c r="C48" t="s">
        <v>138</v>
      </c>
      <c r="D48" s="3" t="s">
        <v>18</v>
      </c>
      <c r="E48" s="2">
        <v>1481</v>
      </c>
      <c r="F48" s="2">
        <v>22.9</v>
      </c>
      <c r="G48" s="4">
        <v>36</v>
      </c>
      <c r="H48" t="s">
        <v>19</v>
      </c>
      <c r="I48" t="s">
        <v>27</v>
      </c>
      <c r="J48" t="s">
        <v>28</v>
      </c>
      <c r="K48" s="2">
        <v>144690</v>
      </c>
      <c r="L48" t="s">
        <v>22</v>
      </c>
      <c r="M48" s="2">
        <v>0.11</v>
      </c>
      <c r="N48" s="2">
        <v>0.94</v>
      </c>
      <c r="O48" s="2">
        <v>1820.15</v>
      </c>
      <c r="P48" s="2">
        <v>0</v>
      </c>
      <c r="Q48">
        <f t="shared" si="0"/>
        <v>1575.5319148936171</v>
      </c>
      <c r="R48">
        <f t="shared" ca="1" si="1"/>
        <v>61</v>
      </c>
      <c r="S48" s="2">
        <f t="shared" si="2"/>
        <v>339.15000000000009</v>
      </c>
      <c r="T48" s="18">
        <v>0.1</v>
      </c>
      <c r="U48">
        <f t="shared" si="3"/>
        <v>373.06500000000011</v>
      </c>
    </row>
    <row r="49" spans="1:21" x14ac:dyDescent="0.3">
      <c r="A49" t="s">
        <v>139</v>
      </c>
      <c r="B49" s="1">
        <v>44402</v>
      </c>
      <c r="C49" t="s">
        <v>140</v>
      </c>
      <c r="D49" s="3" t="s">
        <v>50</v>
      </c>
      <c r="E49" s="2">
        <v>33921</v>
      </c>
      <c r="F49" s="2">
        <v>11.4</v>
      </c>
      <c r="G49" s="4">
        <v>36</v>
      </c>
      <c r="H49" t="s">
        <v>26</v>
      </c>
      <c r="I49" t="s">
        <v>84</v>
      </c>
      <c r="J49" t="s">
        <v>21</v>
      </c>
      <c r="K49" s="2">
        <v>142309</v>
      </c>
      <c r="L49" t="s">
        <v>22</v>
      </c>
      <c r="M49" s="2">
        <v>0.46</v>
      </c>
      <c r="N49" s="2">
        <v>0.8</v>
      </c>
      <c r="O49" s="2">
        <v>14230.09</v>
      </c>
      <c r="P49" s="2">
        <v>0</v>
      </c>
      <c r="Q49">
        <f t="shared" si="0"/>
        <v>42401.25</v>
      </c>
      <c r="R49">
        <f t="shared" ca="1" si="1"/>
        <v>55</v>
      </c>
      <c r="S49" s="2">
        <f t="shared" si="2"/>
        <v>-19690.91</v>
      </c>
      <c r="T49" s="18">
        <v>0.1</v>
      </c>
      <c r="U49">
        <f t="shared" si="3"/>
        <v>-21660.001</v>
      </c>
    </row>
    <row r="50" spans="1:21" x14ac:dyDescent="0.3">
      <c r="A50" t="s">
        <v>141</v>
      </c>
      <c r="B50" s="1">
        <v>45222</v>
      </c>
      <c r="C50" t="s">
        <v>142</v>
      </c>
      <c r="D50" s="3" t="s">
        <v>65</v>
      </c>
      <c r="E50" s="2">
        <v>2524</v>
      </c>
      <c r="F50" s="2">
        <v>7.5</v>
      </c>
      <c r="G50" s="4">
        <v>60</v>
      </c>
      <c r="H50" t="s">
        <v>19</v>
      </c>
      <c r="I50" t="s">
        <v>57</v>
      </c>
      <c r="J50" t="s">
        <v>37</v>
      </c>
      <c r="K50" s="2">
        <v>103933</v>
      </c>
      <c r="L50" t="s">
        <v>22</v>
      </c>
      <c r="M50" s="2">
        <v>0.16</v>
      </c>
      <c r="N50" s="2">
        <v>0.75</v>
      </c>
      <c r="O50" s="2">
        <v>2713.3</v>
      </c>
      <c r="P50" s="2">
        <v>0</v>
      </c>
      <c r="Q50">
        <f t="shared" si="0"/>
        <v>3365.3333333333335</v>
      </c>
      <c r="R50">
        <f t="shared" ca="1" si="1"/>
        <v>28</v>
      </c>
      <c r="S50" s="2">
        <f t="shared" si="2"/>
        <v>189.30000000000018</v>
      </c>
      <c r="T50" s="18">
        <v>0.1</v>
      </c>
      <c r="U50">
        <f t="shared" si="3"/>
        <v>208.23000000000022</v>
      </c>
    </row>
    <row r="51" spans="1:21" x14ac:dyDescent="0.3">
      <c r="A51" t="s">
        <v>143</v>
      </c>
      <c r="B51" s="1">
        <v>45218</v>
      </c>
      <c r="C51" t="s">
        <v>144</v>
      </c>
      <c r="D51" s="3" t="s">
        <v>40</v>
      </c>
      <c r="E51" s="2">
        <v>35888</v>
      </c>
      <c r="F51" s="2">
        <v>14.5</v>
      </c>
      <c r="G51" s="4">
        <v>60</v>
      </c>
      <c r="H51" t="s">
        <v>26</v>
      </c>
      <c r="I51" t="s">
        <v>57</v>
      </c>
      <c r="J51" t="s">
        <v>32</v>
      </c>
      <c r="K51" s="2">
        <v>52335</v>
      </c>
      <c r="L51" t="s">
        <v>22</v>
      </c>
      <c r="M51" s="2">
        <v>0.19</v>
      </c>
      <c r="N51" s="2">
        <v>0.92</v>
      </c>
      <c r="O51" s="2">
        <v>9756.7199999999993</v>
      </c>
      <c r="P51" s="2">
        <v>0</v>
      </c>
      <c r="Q51">
        <f t="shared" si="0"/>
        <v>39008.695652173912</v>
      </c>
      <c r="R51">
        <f t="shared" ca="1" si="1"/>
        <v>29</v>
      </c>
      <c r="S51" s="2">
        <f t="shared" si="2"/>
        <v>-26131.279999999999</v>
      </c>
      <c r="T51" s="18">
        <v>0.1</v>
      </c>
      <c r="U51">
        <f t="shared" si="3"/>
        <v>-28744.407999999999</v>
      </c>
    </row>
    <row r="52" spans="1:21" x14ac:dyDescent="0.3">
      <c r="A52" t="s">
        <v>145</v>
      </c>
      <c r="B52" s="1">
        <v>44762</v>
      </c>
      <c r="C52" t="s">
        <v>146</v>
      </c>
      <c r="D52" s="3" t="s">
        <v>56</v>
      </c>
      <c r="E52" s="2">
        <v>16048</v>
      </c>
      <c r="F52" s="2">
        <v>7.3</v>
      </c>
      <c r="G52" s="4">
        <v>60</v>
      </c>
      <c r="H52" t="s">
        <v>19</v>
      </c>
      <c r="I52" t="s">
        <v>27</v>
      </c>
      <c r="J52" t="s">
        <v>21</v>
      </c>
      <c r="K52" s="2">
        <v>75095</v>
      </c>
      <c r="L52" t="s">
        <v>29</v>
      </c>
      <c r="M52" s="2">
        <v>0.31</v>
      </c>
      <c r="N52" s="2">
        <v>0.76</v>
      </c>
      <c r="O52" s="2">
        <v>17219.5</v>
      </c>
      <c r="P52" s="2">
        <v>0</v>
      </c>
      <c r="Q52">
        <f t="shared" si="0"/>
        <v>21115.78947368421</v>
      </c>
      <c r="R52">
        <f t="shared" ca="1" si="1"/>
        <v>43</v>
      </c>
      <c r="S52" s="2">
        <f t="shared" si="2"/>
        <v>1171.5</v>
      </c>
      <c r="T52" s="18">
        <v>0.1</v>
      </c>
      <c r="U52">
        <f t="shared" si="3"/>
        <v>1288.6500000000001</v>
      </c>
    </row>
    <row r="53" spans="1:21" x14ac:dyDescent="0.3">
      <c r="A53" t="s">
        <v>147</v>
      </c>
      <c r="B53" s="1">
        <v>44899</v>
      </c>
      <c r="C53" t="s">
        <v>148</v>
      </c>
      <c r="D53" s="3" t="s">
        <v>40</v>
      </c>
      <c r="E53" s="2">
        <v>36111</v>
      </c>
      <c r="F53" s="2">
        <v>14.7</v>
      </c>
      <c r="G53" s="4">
        <v>36</v>
      </c>
      <c r="H53" t="s">
        <v>19</v>
      </c>
      <c r="I53" t="s">
        <v>20</v>
      </c>
      <c r="J53" t="s">
        <v>32</v>
      </c>
      <c r="K53" s="2">
        <v>109930</v>
      </c>
      <c r="L53" t="s">
        <v>33</v>
      </c>
      <c r="M53" s="2">
        <v>0.38</v>
      </c>
      <c r="N53" s="2">
        <v>0.74</v>
      </c>
      <c r="O53" s="2">
        <v>41419.32</v>
      </c>
      <c r="P53" s="2">
        <v>0</v>
      </c>
      <c r="Q53">
        <f t="shared" si="0"/>
        <v>48798.648648648646</v>
      </c>
      <c r="R53">
        <f t="shared" ca="1" si="1"/>
        <v>39</v>
      </c>
      <c r="S53" s="2">
        <f t="shared" si="2"/>
        <v>5308.32</v>
      </c>
      <c r="T53" s="18">
        <v>0.1</v>
      </c>
      <c r="U53">
        <f t="shared" si="3"/>
        <v>5839.152</v>
      </c>
    </row>
    <row r="54" spans="1:21" x14ac:dyDescent="0.3">
      <c r="A54" t="s">
        <v>149</v>
      </c>
      <c r="B54" s="1">
        <v>44598</v>
      </c>
      <c r="C54" t="s">
        <v>150</v>
      </c>
      <c r="D54" s="3" t="s">
        <v>65</v>
      </c>
      <c r="E54" s="2">
        <v>38904</v>
      </c>
      <c r="F54" s="2">
        <v>23.4</v>
      </c>
      <c r="G54" s="4">
        <v>60</v>
      </c>
      <c r="H54" t="s">
        <v>81</v>
      </c>
      <c r="I54" t="s">
        <v>27</v>
      </c>
      <c r="J54" t="s">
        <v>28</v>
      </c>
      <c r="K54" s="2">
        <v>57197</v>
      </c>
      <c r="L54" t="s">
        <v>22</v>
      </c>
      <c r="M54" s="2">
        <v>0.14000000000000001</v>
      </c>
      <c r="N54" s="2">
        <v>0.84</v>
      </c>
      <c r="O54" s="2">
        <v>13773.37</v>
      </c>
      <c r="P54" s="2">
        <v>12116.05</v>
      </c>
      <c r="Q54">
        <f t="shared" si="0"/>
        <v>46314.285714285717</v>
      </c>
      <c r="R54">
        <f t="shared" ca="1" si="1"/>
        <v>49</v>
      </c>
      <c r="S54" s="2">
        <f t="shared" si="2"/>
        <v>-13014.580000000002</v>
      </c>
      <c r="T54" s="18">
        <v>0.1</v>
      </c>
      <c r="U54">
        <f t="shared" si="3"/>
        <v>-14316.038000000002</v>
      </c>
    </row>
    <row r="55" spans="1:21" x14ac:dyDescent="0.3">
      <c r="A55" t="s">
        <v>151</v>
      </c>
      <c r="B55" s="1">
        <v>44926</v>
      </c>
      <c r="C55" t="s">
        <v>152</v>
      </c>
      <c r="D55" s="3" t="s">
        <v>18</v>
      </c>
      <c r="E55" s="2">
        <v>35008</v>
      </c>
      <c r="F55" s="2">
        <v>15.4</v>
      </c>
      <c r="G55" s="4">
        <v>36</v>
      </c>
      <c r="H55" t="s">
        <v>19</v>
      </c>
      <c r="I55" t="s">
        <v>84</v>
      </c>
      <c r="J55" t="s">
        <v>21</v>
      </c>
      <c r="K55" s="2">
        <v>52010</v>
      </c>
      <c r="L55" t="s">
        <v>33</v>
      </c>
      <c r="M55" s="2">
        <v>0.23</v>
      </c>
      <c r="N55" s="2">
        <v>0.82</v>
      </c>
      <c r="O55" s="2">
        <v>40399.230000000003</v>
      </c>
      <c r="P55" s="2">
        <v>0</v>
      </c>
      <c r="Q55">
        <f t="shared" si="0"/>
        <v>42692.682926829271</v>
      </c>
      <c r="R55">
        <f t="shared" ca="1" si="1"/>
        <v>38</v>
      </c>
      <c r="S55" s="2">
        <f t="shared" si="2"/>
        <v>5391.2300000000032</v>
      </c>
      <c r="T55" s="18">
        <v>0.1</v>
      </c>
      <c r="U55">
        <f t="shared" si="3"/>
        <v>5930.3530000000037</v>
      </c>
    </row>
    <row r="56" spans="1:21" x14ac:dyDescent="0.3">
      <c r="A56" t="s">
        <v>153</v>
      </c>
      <c r="B56" s="1">
        <v>44358</v>
      </c>
      <c r="C56" t="s">
        <v>154</v>
      </c>
      <c r="D56" s="3" t="s">
        <v>18</v>
      </c>
      <c r="E56" s="2">
        <v>1060</v>
      </c>
      <c r="F56" s="2">
        <v>17.3</v>
      </c>
      <c r="G56" s="4">
        <v>60</v>
      </c>
      <c r="H56" t="s">
        <v>26</v>
      </c>
      <c r="I56" t="s">
        <v>57</v>
      </c>
      <c r="J56" t="s">
        <v>21</v>
      </c>
      <c r="K56" s="2">
        <v>54123</v>
      </c>
      <c r="L56" t="s">
        <v>22</v>
      </c>
      <c r="M56" s="2">
        <v>0.49</v>
      </c>
      <c r="N56" s="2">
        <v>0.59</v>
      </c>
      <c r="O56" s="2">
        <v>339.55</v>
      </c>
      <c r="P56" s="2">
        <v>0</v>
      </c>
      <c r="Q56">
        <f t="shared" si="0"/>
        <v>1796.6101694915255</v>
      </c>
      <c r="R56">
        <f t="shared" ca="1" si="1"/>
        <v>57</v>
      </c>
      <c r="S56" s="2">
        <f t="shared" si="2"/>
        <v>-720.45</v>
      </c>
      <c r="T56" s="18">
        <v>0.1</v>
      </c>
      <c r="U56">
        <f t="shared" si="3"/>
        <v>-792.49500000000012</v>
      </c>
    </row>
    <row r="57" spans="1:21" x14ac:dyDescent="0.3">
      <c r="A57" t="s">
        <v>155</v>
      </c>
      <c r="B57" s="1">
        <v>44398</v>
      </c>
      <c r="C57" t="s">
        <v>156</v>
      </c>
      <c r="D57" s="3" t="s">
        <v>46</v>
      </c>
      <c r="E57" s="2">
        <v>10130</v>
      </c>
      <c r="F57" s="2">
        <v>8.1</v>
      </c>
      <c r="G57" s="4">
        <v>60</v>
      </c>
      <c r="H57" t="s">
        <v>19</v>
      </c>
      <c r="I57" t="s">
        <v>27</v>
      </c>
      <c r="J57" t="s">
        <v>28</v>
      </c>
      <c r="K57" s="2">
        <v>117923</v>
      </c>
      <c r="L57" t="s">
        <v>29</v>
      </c>
      <c r="M57" s="2">
        <v>0.2</v>
      </c>
      <c r="N57" s="2">
        <v>0.71</v>
      </c>
      <c r="O57" s="2">
        <v>10950.53</v>
      </c>
      <c r="P57" s="2">
        <v>0</v>
      </c>
      <c r="Q57">
        <f t="shared" si="0"/>
        <v>14267.605633802817</v>
      </c>
      <c r="R57">
        <f t="shared" ca="1" si="1"/>
        <v>55</v>
      </c>
      <c r="S57" s="2">
        <f t="shared" si="2"/>
        <v>820.53000000000065</v>
      </c>
      <c r="T57" s="18">
        <v>0.1</v>
      </c>
      <c r="U57">
        <f t="shared" si="3"/>
        <v>902.58300000000077</v>
      </c>
    </row>
    <row r="58" spans="1:21" x14ac:dyDescent="0.3">
      <c r="A58" t="s">
        <v>157</v>
      </c>
      <c r="B58" s="1">
        <v>45192</v>
      </c>
      <c r="C58" t="s">
        <v>158</v>
      </c>
      <c r="D58" s="3" t="s">
        <v>53</v>
      </c>
      <c r="E58" s="2">
        <v>19023</v>
      </c>
      <c r="F58" s="2">
        <v>5.9</v>
      </c>
      <c r="G58" s="4">
        <v>60</v>
      </c>
      <c r="H58" t="s">
        <v>26</v>
      </c>
      <c r="I58" t="s">
        <v>20</v>
      </c>
      <c r="J58" t="s">
        <v>28</v>
      </c>
      <c r="K58" s="2">
        <v>32890</v>
      </c>
      <c r="L58" t="s">
        <v>33</v>
      </c>
      <c r="M58" s="2">
        <v>0.23</v>
      </c>
      <c r="N58" s="2">
        <v>0.71</v>
      </c>
      <c r="O58" s="2">
        <v>6787.88</v>
      </c>
      <c r="P58" s="2">
        <v>0</v>
      </c>
      <c r="Q58">
        <f t="shared" si="0"/>
        <v>26792.957746478874</v>
      </c>
      <c r="R58">
        <f t="shared" ca="1" si="1"/>
        <v>29</v>
      </c>
      <c r="S58" s="2">
        <f t="shared" si="2"/>
        <v>-12235.119999999999</v>
      </c>
      <c r="T58" s="18">
        <v>0.1</v>
      </c>
      <c r="U58">
        <f t="shared" si="3"/>
        <v>-13458.632</v>
      </c>
    </row>
    <row r="59" spans="1:21" x14ac:dyDescent="0.3">
      <c r="A59" t="s">
        <v>159</v>
      </c>
      <c r="B59" s="1">
        <v>44466</v>
      </c>
      <c r="C59" t="s">
        <v>160</v>
      </c>
      <c r="D59" s="3" t="s">
        <v>56</v>
      </c>
      <c r="E59" s="2">
        <v>14350</v>
      </c>
      <c r="F59" s="2">
        <v>7.2</v>
      </c>
      <c r="G59" s="4">
        <v>60</v>
      </c>
      <c r="H59" t="s">
        <v>81</v>
      </c>
      <c r="I59" t="s">
        <v>57</v>
      </c>
      <c r="J59" t="s">
        <v>47</v>
      </c>
      <c r="K59" s="2">
        <v>123305</v>
      </c>
      <c r="L59" t="s">
        <v>29</v>
      </c>
      <c r="M59" s="2">
        <v>0.43</v>
      </c>
      <c r="N59" s="2">
        <v>0.67</v>
      </c>
      <c r="O59" s="2">
        <v>5712.02</v>
      </c>
      <c r="P59" s="2">
        <v>3379.84</v>
      </c>
      <c r="Q59">
        <f t="shared" si="0"/>
        <v>21417.910447761195</v>
      </c>
      <c r="R59">
        <f t="shared" ca="1" si="1"/>
        <v>53</v>
      </c>
      <c r="S59" s="2">
        <f t="shared" si="2"/>
        <v>-5258.1399999999994</v>
      </c>
      <c r="T59" s="18">
        <v>0.1</v>
      </c>
      <c r="U59">
        <f t="shared" si="3"/>
        <v>-5783.9539999999997</v>
      </c>
    </row>
    <row r="60" spans="1:21" x14ac:dyDescent="0.3">
      <c r="A60" t="s">
        <v>161</v>
      </c>
      <c r="B60" s="1">
        <v>45012</v>
      </c>
      <c r="C60" t="s">
        <v>162</v>
      </c>
      <c r="D60" s="3" t="s">
        <v>46</v>
      </c>
      <c r="E60" s="2">
        <v>25354</v>
      </c>
      <c r="F60" s="2">
        <v>17</v>
      </c>
      <c r="G60" s="4">
        <v>60</v>
      </c>
      <c r="H60" t="s">
        <v>19</v>
      </c>
      <c r="I60" t="s">
        <v>41</v>
      </c>
      <c r="J60" t="s">
        <v>37</v>
      </c>
      <c r="K60" s="2">
        <v>139162</v>
      </c>
      <c r="L60" t="s">
        <v>22</v>
      </c>
      <c r="M60" s="2">
        <v>0.12</v>
      </c>
      <c r="N60" s="2">
        <v>0.73</v>
      </c>
      <c r="O60" s="2">
        <v>29664.18</v>
      </c>
      <c r="P60" s="2">
        <v>0</v>
      </c>
      <c r="Q60">
        <f t="shared" si="0"/>
        <v>34731.506849315068</v>
      </c>
      <c r="R60">
        <f t="shared" ca="1" si="1"/>
        <v>35</v>
      </c>
      <c r="S60" s="2">
        <f t="shared" si="2"/>
        <v>4310.18</v>
      </c>
      <c r="T60" s="18">
        <v>0.1</v>
      </c>
      <c r="U60">
        <f t="shared" si="3"/>
        <v>4741.1980000000003</v>
      </c>
    </row>
    <row r="61" spans="1:21" x14ac:dyDescent="0.3">
      <c r="A61" t="s">
        <v>163</v>
      </c>
      <c r="B61" s="1">
        <v>44652</v>
      </c>
      <c r="C61" t="s">
        <v>164</v>
      </c>
      <c r="D61" s="3" t="s">
        <v>56</v>
      </c>
      <c r="E61" s="2">
        <v>29145</v>
      </c>
      <c r="F61" s="2">
        <v>6.9</v>
      </c>
      <c r="G61" s="4">
        <v>36</v>
      </c>
      <c r="H61" t="s">
        <v>26</v>
      </c>
      <c r="I61" t="s">
        <v>41</v>
      </c>
      <c r="J61" t="s">
        <v>21</v>
      </c>
      <c r="K61" s="2">
        <v>38026</v>
      </c>
      <c r="L61" t="s">
        <v>29</v>
      </c>
      <c r="M61" s="2">
        <v>0.28999999999999998</v>
      </c>
      <c r="N61" s="2">
        <v>0.69</v>
      </c>
      <c r="O61" s="2">
        <v>4504.3900000000003</v>
      </c>
      <c r="P61" s="2">
        <v>0</v>
      </c>
      <c r="Q61">
        <f t="shared" si="0"/>
        <v>42239.130434782615</v>
      </c>
      <c r="R61">
        <f t="shared" ca="1" si="1"/>
        <v>47</v>
      </c>
      <c r="S61" s="2">
        <f t="shared" si="2"/>
        <v>-24640.61</v>
      </c>
      <c r="T61" s="18">
        <v>0.1</v>
      </c>
      <c r="U61">
        <f t="shared" si="3"/>
        <v>-27104.671000000002</v>
      </c>
    </row>
    <row r="62" spans="1:21" x14ac:dyDescent="0.3">
      <c r="A62" t="s">
        <v>165</v>
      </c>
      <c r="B62" s="1">
        <v>45213</v>
      </c>
      <c r="C62" t="s">
        <v>166</v>
      </c>
      <c r="D62" s="3" t="s">
        <v>56</v>
      </c>
      <c r="E62" s="2">
        <v>35020</v>
      </c>
      <c r="F62" s="2">
        <v>12.5</v>
      </c>
      <c r="G62" s="4">
        <v>60</v>
      </c>
      <c r="H62" t="s">
        <v>26</v>
      </c>
      <c r="I62" t="s">
        <v>73</v>
      </c>
      <c r="J62" t="s">
        <v>21</v>
      </c>
      <c r="K62" s="2">
        <v>94925</v>
      </c>
      <c r="L62" t="s">
        <v>29</v>
      </c>
      <c r="M62" s="2">
        <v>0.25</v>
      </c>
      <c r="N62" s="2">
        <v>0.59</v>
      </c>
      <c r="O62" s="2">
        <v>11583.76</v>
      </c>
      <c r="P62" s="2">
        <v>0</v>
      </c>
      <c r="Q62">
        <f t="shared" si="0"/>
        <v>59355.932203389835</v>
      </c>
      <c r="R62">
        <f t="shared" ca="1" si="1"/>
        <v>29</v>
      </c>
      <c r="S62" s="2">
        <f t="shared" si="2"/>
        <v>-23436.239999999998</v>
      </c>
      <c r="T62" s="18">
        <v>0.1</v>
      </c>
      <c r="U62">
        <f t="shared" si="3"/>
        <v>-25779.864000000001</v>
      </c>
    </row>
    <row r="63" spans="1:21" x14ac:dyDescent="0.3">
      <c r="A63" t="s">
        <v>167</v>
      </c>
      <c r="B63" s="1">
        <v>44492</v>
      </c>
      <c r="C63" t="s">
        <v>168</v>
      </c>
      <c r="D63" s="3" t="s">
        <v>65</v>
      </c>
      <c r="E63" s="2">
        <v>21587</v>
      </c>
      <c r="F63" s="2">
        <v>16</v>
      </c>
      <c r="G63" s="4">
        <v>36</v>
      </c>
      <c r="H63" t="s">
        <v>26</v>
      </c>
      <c r="I63" t="s">
        <v>36</v>
      </c>
      <c r="J63" t="s">
        <v>28</v>
      </c>
      <c r="K63" s="2">
        <v>98842</v>
      </c>
      <c r="L63" t="s">
        <v>22</v>
      </c>
      <c r="M63" s="2">
        <v>0.23</v>
      </c>
      <c r="N63" s="2">
        <v>0.69</v>
      </c>
      <c r="O63" s="2">
        <v>5550.98</v>
      </c>
      <c r="P63" s="2">
        <v>0</v>
      </c>
      <c r="Q63">
        <f t="shared" si="0"/>
        <v>31285.507246376816</v>
      </c>
      <c r="R63">
        <f t="shared" ca="1" si="1"/>
        <v>52</v>
      </c>
      <c r="S63" s="2">
        <f t="shared" si="2"/>
        <v>-16036.02</v>
      </c>
      <c r="T63" s="18">
        <v>0.1</v>
      </c>
      <c r="U63">
        <f t="shared" si="3"/>
        <v>-17639.622000000003</v>
      </c>
    </row>
    <row r="64" spans="1:21" x14ac:dyDescent="0.3">
      <c r="A64" t="s">
        <v>169</v>
      </c>
      <c r="B64" s="1">
        <v>44916</v>
      </c>
      <c r="C64" t="s">
        <v>170</v>
      </c>
      <c r="D64" s="3" t="s">
        <v>46</v>
      </c>
      <c r="E64" s="2">
        <v>10650</v>
      </c>
      <c r="F64" s="2">
        <v>12.8</v>
      </c>
      <c r="G64" s="4">
        <v>36</v>
      </c>
      <c r="H64" t="s">
        <v>19</v>
      </c>
      <c r="I64" t="s">
        <v>73</v>
      </c>
      <c r="J64" t="s">
        <v>28</v>
      </c>
      <c r="K64" s="2">
        <v>63665</v>
      </c>
      <c r="L64" t="s">
        <v>22</v>
      </c>
      <c r="M64" s="2">
        <v>0.21</v>
      </c>
      <c r="N64" s="2">
        <v>0.53</v>
      </c>
      <c r="O64" s="2">
        <v>12013.2</v>
      </c>
      <c r="P64" s="2">
        <v>0</v>
      </c>
      <c r="Q64">
        <f t="shared" si="0"/>
        <v>20094.33962264151</v>
      </c>
      <c r="R64">
        <f t="shared" ca="1" si="1"/>
        <v>38</v>
      </c>
      <c r="S64" s="2">
        <f t="shared" si="2"/>
        <v>1363.2000000000007</v>
      </c>
      <c r="T64" s="18">
        <v>0.1</v>
      </c>
      <c r="U64">
        <f t="shared" si="3"/>
        <v>1499.5200000000009</v>
      </c>
    </row>
    <row r="65" spans="1:21" x14ac:dyDescent="0.3">
      <c r="A65" t="s">
        <v>171</v>
      </c>
      <c r="B65" s="1">
        <v>44534</v>
      </c>
      <c r="C65" t="s">
        <v>172</v>
      </c>
      <c r="D65" s="3" t="s">
        <v>56</v>
      </c>
      <c r="E65" s="2">
        <v>20933</v>
      </c>
      <c r="F65" s="2">
        <v>8.3000000000000007</v>
      </c>
      <c r="G65" s="4">
        <v>36</v>
      </c>
      <c r="H65" t="s">
        <v>81</v>
      </c>
      <c r="I65" t="s">
        <v>57</v>
      </c>
      <c r="J65" t="s">
        <v>37</v>
      </c>
      <c r="K65" s="2">
        <v>39277</v>
      </c>
      <c r="L65" t="s">
        <v>33</v>
      </c>
      <c r="M65" s="2">
        <v>0.14000000000000001</v>
      </c>
      <c r="N65" s="2">
        <v>0.76</v>
      </c>
      <c r="O65" s="2">
        <v>2341.0500000000002</v>
      </c>
      <c r="P65" s="2">
        <v>2519.27</v>
      </c>
      <c r="Q65">
        <f t="shared" si="0"/>
        <v>27543.42105263158</v>
      </c>
      <c r="R65">
        <f t="shared" ca="1" si="1"/>
        <v>51</v>
      </c>
      <c r="S65" s="2">
        <f t="shared" si="2"/>
        <v>-16072.68</v>
      </c>
      <c r="T65" s="18">
        <v>0.1</v>
      </c>
      <c r="U65">
        <f t="shared" si="3"/>
        <v>-17679.948</v>
      </c>
    </row>
    <row r="66" spans="1:21" x14ac:dyDescent="0.3">
      <c r="A66" t="s">
        <v>173</v>
      </c>
      <c r="B66" s="1">
        <v>45075</v>
      </c>
      <c r="C66" t="s">
        <v>174</v>
      </c>
      <c r="D66" s="3" t="s">
        <v>25</v>
      </c>
      <c r="E66" s="2">
        <v>21581</v>
      </c>
      <c r="F66" s="2">
        <v>10.5</v>
      </c>
      <c r="G66" s="4">
        <v>36</v>
      </c>
      <c r="H66" t="s">
        <v>19</v>
      </c>
      <c r="I66" t="s">
        <v>57</v>
      </c>
      <c r="J66" t="s">
        <v>28</v>
      </c>
      <c r="K66" s="2">
        <v>72239</v>
      </c>
      <c r="L66" t="s">
        <v>22</v>
      </c>
      <c r="M66" s="2">
        <v>0.23</v>
      </c>
      <c r="N66" s="2">
        <v>0.88</v>
      </c>
      <c r="O66" s="2">
        <v>23847</v>
      </c>
      <c r="P66" s="2">
        <v>0</v>
      </c>
      <c r="Q66">
        <f t="shared" si="0"/>
        <v>24523.863636363636</v>
      </c>
      <c r="R66">
        <f t="shared" ca="1" si="1"/>
        <v>33</v>
      </c>
      <c r="S66" s="2">
        <f t="shared" si="2"/>
        <v>2266</v>
      </c>
      <c r="T66" s="18">
        <v>0.1</v>
      </c>
      <c r="U66">
        <f t="shared" si="3"/>
        <v>2492.6000000000004</v>
      </c>
    </row>
    <row r="67" spans="1:21" x14ac:dyDescent="0.3">
      <c r="A67" t="s">
        <v>175</v>
      </c>
      <c r="B67" s="1">
        <v>45273</v>
      </c>
      <c r="C67" t="s">
        <v>176</v>
      </c>
      <c r="D67" s="3" t="s">
        <v>65</v>
      </c>
      <c r="E67" s="2">
        <v>24393</v>
      </c>
      <c r="F67" s="2">
        <v>23.6</v>
      </c>
      <c r="G67" s="4">
        <v>36</v>
      </c>
      <c r="H67" t="s">
        <v>19</v>
      </c>
      <c r="I67" t="s">
        <v>36</v>
      </c>
      <c r="J67" t="s">
        <v>32</v>
      </c>
      <c r="K67" s="2">
        <v>77664</v>
      </c>
      <c r="L67" t="s">
        <v>33</v>
      </c>
      <c r="M67" s="2">
        <v>0.12</v>
      </c>
      <c r="N67" s="2">
        <v>0.83</v>
      </c>
      <c r="O67" s="2">
        <v>30149.75</v>
      </c>
      <c r="P67" s="2">
        <v>0</v>
      </c>
      <c r="Q67">
        <f t="shared" ref="Q67:Q130" si="4">E67/N67</f>
        <v>29389.156626506025</v>
      </c>
      <c r="R67">
        <f t="shared" ref="R67:R130" ca="1" si="5">DATEDIF(B67, TODAY(), "M")</f>
        <v>27</v>
      </c>
      <c r="S67" s="2">
        <f t="shared" ref="S67:S130" si="6">(O67+P67)-E67</f>
        <v>5756.75</v>
      </c>
      <c r="T67" s="18">
        <v>0.1</v>
      </c>
      <c r="U67">
        <f t="shared" ref="U67:U130" si="7">S67*(1+T67)</f>
        <v>6332.4250000000002</v>
      </c>
    </row>
    <row r="68" spans="1:21" x14ac:dyDescent="0.3">
      <c r="A68" t="s">
        <v>177</v>
      </c>
      <c r="B68" s="1">
        <v>44988</v>
      </c>
      <c r="C68" t="s">
        <v>178</v>
      </c>
      <c r="D68" s="3" t="s">
        <v>18</v>
      </c>
      <c r="E68" s="2">
        <v>24051</v>
      </c>
      <c r="F68" s="2">
        <v>18.5</v>
      </c>
      <c r="G68" s="4">
        <v>60</v>
      </c>
      <c r="H68" t="s">
        <v>81</v>
      </c>
      <c r="I68" t="s">
        <v>20</v>
      </c>
      <c r="J68" t="s">
        <v>32</v>
      </c>
      <c r="K68" s="2">
        <v>78008</v>
      </c>
      <c r="L68" t="s">
        <v>29</v>
      </c>
      <c r="M68" s="2">
        <v>0.41</v>
      </c>
      <c r="N68" s="2">
        <v>0.66</v>
      </c>
      <c r="O68" s="2">
        <v>2509.5100000000002</v>
      </c>
      <c r="P68" s="2">
        <v>11762.86</v>
      </c>
      <c r="Q68">
        <f t="shared" si="4"/>
        <v>36440.909090909088</v>
      </c>
      <c r="R68">
        <f t="shared" ca="1" si="5"/>
        <v>36</v>
      </c>
      <c r="S68" s="2">
        <f t="shared" si="6"/>
        <v>-9778.6299999999992</v>
      </c>
      <c r="T68" s="18">
        <v>0.1</v>
      </c>
      <c r="U68">
        <f t="shared" si="7"/>
        <v>-10756.493</v>
      </c>
    </row>
    <row r="69" spans="1:21" x14ac:dyDescent="0.3">
      <c r="A69" t="s">
        <v>179</v>
      </c>
      <c r="B69" s="1">
        <v>44413</v>
      </c>
      <c r="C69" t="s">
        <v>180</v>
      </c>
      <c r="D69" s="3" t="s">
        <v>65</v>
      </c>
      <c r="E69" s="2">
        <v>27212</v>
      </c>
      <c r="F69" s="2">
        <v>14.9</v>
      </c>
      <c r="G69" s="4">
        <v>60</v>
      </c>
      <c r="H69" t="s">
        <v>26</v>
      </c>
      <c r="I69" t="s">
        <v>73</v>
      </c>
      <c r="J69" t="s">
        <v>32</v>
      </c>
      <c r="K69" s="2">
        <v>44683</v>
      </c>
      <c r="L69" t="s">
        <v>29</v>
      </c>
      <c r="M69" s="2">
        <v>0.26</v>
      </c>
      <c r="N69" s="2">
        <v>0.54</v>
      </c>
      <c r="O69" s="2">
        <v>2820.6</v>
      </c>
      <c r="P69" s="2">
        <v>0</v>
      </c>
      <c r="Q69">
        <f t="shared" si="4"/>
        <v>50392.592592592591</v>
      </c>
      <c r="R69">
        <f t="shared" ca="1" si="5"/>
        <v>55</v>
      </c>
      <c r="S69" s="2">
        <f t="shared" si="6"/>
        <v>-24391.4</v>
      </c>
      <c r="T69" s="18">
        <v>0.1</v>
      </c>
      <c r="U69">
        <f t="shared" si="7"/>
        <v>-26830.540000000005</v>
      </c>
    </row>
    <row r="70" spans="1:21" x14ac:dyDescent="0.3">
      <c r="A70" t="s">
        <v>181</v>
      </c>
      <c r="B70" s="1">
        <v>44960</v>
      </c>
      <c r="C70" t="s">
        <v>182</v>
      </c>
      <c r="D70" s="3" t="s">
        <v>76</v>
      </c>
      <c r="E70" s="2">
        <v>5090</v>
      </c>
      <c r="F70" s="2">
        <v>5.3</v>
      </c>
      <c r="G70" s="4">
        <v>60</v>
      </c>
      <c r="H70" t="s">
        <v>19</v>
      </c>
      <c r="I70" t="s">
        <v>73</v>
      </c>
      <c r="J70" t="s">
        <v>32</v>
      </c>
      <c r="K70" s="2">
        <v>30670</v>
      </c>
      <c r="L70" t="s">
        <v>33</v>
      </c>
      <c r="M70" s="2">
        <v>0.28000000000000003</v>
      </c>
      <c r="N70" s="2">
        <v>0.59</v>
      </c>
      <c r="O70" s="2">
        <v>5359.77</v>
      </c>
      <c r="P70" s="2">
        <v>0</v>
      </c>
      <c r="Q70">
        <f t="shared" si="4"/>
        <v>8627.1186440677975</v>
      </c>
      <c r="R70">
        <f t="shared" ca="1" si="5"/>
        <v>37</v>
      </c>
      <c r="S70" s="2">
        <f t="shared" si="6"/>
        <v>269.77000000000044</v>
      </c>
      <c r="T70" s="18">
        <v>0.1</v>
      </c>
      <c r="U70">
        <f t="shared" si="7"/>
        <v>296.74700000000053</v>
      </c>
    </row>
    <row r="71" spans="1:21" x14ac:dyDescent="0.3">
      <c r="A71" t="s">
        <v>183</v>
      </c>
      <c r="B71" s="1">
        <v>44384</v>
      </c>
      <c r="C71" t="s">
        <v>184</v>
      </c>
      <c r="D71" s="3" t="s">
        <v>76</v>
      </c>
      <c r="E71" s="2">
        <v>7960</v>
      </c>
      <c r="F71" s="2">
        <v>24.8</v>
      </c>
      <c r="G71" s="4">
        <v>60</v>
      </c>
      <c r="H71" t="s">
        <v>19</v>
      </c>
      <c r="I71" t="s">
        <v>27</v>
      </c>
      <c r="J71" t="s">
        <v>37</v>
      </c>
      <c r="K71" s="2">
        <v>119211</v>
      </c>
      <c r="L71" t="s">
        <v>22</v>
      </c>
      <c r="M71" s="2">
        <v>0.46</v>
      </c>
      <c r="N71" s="2">
        <v>0.75</v>
      </c>
      <c r="O71" s="2">
        <v>9934.08</v>
      </c>
      <c r="P71" s="2">
        <v>0</v>
      </c>
      <c r="Q71">
        <f t="shared" si="4"/>
        <v>10613.333333333334</v>
      </c>
      <c r="R71">
        <f t="shared" ca="1" si="5"/>
        <v>56</v>
      </c>
      <c r="S71" s="2">
        <f t="shared" si="6"/>
        <v>1974.08</v>
      </c>
      <c r="T71" s="18">
        <v>0.1</v>
      </c>
      <c r="U71">
        <f t="shared" si="7"/>
        <v>2171.4880000000003</v>
      </c>
    </row>
    <row r="72" spans="1:21" x14ac:dyDescent="0.3">
      <c r="A72" t="s">
        <v>185</v>
      </c>
      <c r="B72" s="1">
        <v>44576</v>
      </c>
      <c r="C72" t="s">
        <v>186</v>
      </c>
      <c r="D72" s="3" t="s">
        <v>56</v>
      </c>
      <c r="E72" s="2">
        <v>36772</v>
      </c>
      <c r="F72" s="2">
        <v>18.399999999999999</v>
      </c>
      <c r="G72" s="4">
        <v>36</v>
      </c>
      <c r="H72" t="s">
        <v>19</v>
      </c>
      <c r="I72" t="s">
        <v>73</v>
      </c>
      <c r="J72" t="s">
        <v>21</v>
      </c>
      <c r="K72" s="2">
        <v>47889</v>
      </c>
      <c r="L72" t="s">
        <v>22</v>
      </c>
      <c r="M72" s="2">
        <v>0.36</v>
      </c>
      <c r="N72" s="2">
        <v>0.59</v>
      </c>
      <c r="O72" s="2">
        <v>43538.05</v>
      </c>
      <c r="P72" s="2">
        <v>0</v>
      </c>
      <c r="Q72">
        <f t="shared" si="4"/>
        <v>62325.423728813563</v>
      </c>
      <c r="R72">
        <f t="shared" ca="1" si="5"/>
        <v>50</v>
      </c>
      <c r="S72" s="2">
        <f t="shared" si="6"/>
        <v>6766.0500000000029</v>
      </c>
      <c r="T72" s="18">
        <v>0.1</v>
      </c>
      <c r="U72">
        <f t="shared" si="7"/>
        <v>7442.6550000000034</v>
      </c>
    </row>
    <row r="73" spans="1:21" x14ac:dyDescent="0.3">
      <c r="A73" t="s">
        <v>187</v>
      </c>
      <c r="B73" s="1">
        <v>44689</v>
      </c>
      <c r="C73" t="s">
        <v>188</v>
      </c>
      <c r="D73" s="3" t="s">
        <v>46</v>
      </c>
      <c r="E73" s="2">
        <v>22520</v>
      </c>
      <c r="F73" s="2">
        <v>11.3</v>
      </c>
      <c r="G73" s="4">
        <v>60</v>
      </c>
      <c r="H73" t="s">
        <v>19</v>
      </c>
      <c r="I73" t="s">
        <v>57</v>
      </c>
      <c r="J73" t="s">
        <v>32</v>
      </c>
      <c r="K73" s="2">
        <v>85612</v>
      </c>
      <c r="L73" t="s">
        <v>29</v>
      </c>
      <c r="M73" s="2">
        <v>0.1</v>
      </c>
      <c r="N73" s="2">
        <v>0.74</v>
      </c>
      <c r="O73" s="2">
        <v>25064.76</v>
      </c>
      <c r="P73" s="2">
        <v>0</v>
      </c>
      <c r="Q73">
        <f t="shared" si="4"/>
        <v>30432.432432432433</v>
      </c>
      <c r="R73">
        <f t="shared" ca="1" si="5"/>
        <v>46</v>
      </c>
      <c r="S73" s="2">
        <f t="shared" si="6"/>
        <v>2544.7599999999984</v>
      </c>
      <c r="T73" s="18">
        <v>0.1</v>
      </c>
      <c r="U73">
        <f t="shared" si="7"/>
        <v>2799.2359999999985</v>
      </c>
    </row>
    <row r="74" spans="1:21" x14ac:dyDescent="0.3">
      <c r="A74" t="s">
        <v>189</v>
      </c>
      <c r="B74" s="1">
        <v>45261</v>
      </c>
      <c r="C74" t="s">
        <v>190</v>
      </c>
      <c r="D74" s="3" t="s">
        <v>18</v>
      </c>
      <c r="E74" s="2">
        <v>37408</v>
      </c>
      <c r="F74" s="2">
        <v>22.6</v>
      </c>
      <c r="G74" s="4">
        <v>60</v>
      </c>
      <c r="H74" t="s">
        <v>19</v>
      </c>
      <c r="I74" t="s">
        <v>20</v>
      </c>
      <c r="J74" t="s">
        <v>28</v>
      </c>
      <c r="K74" s="2">
        <v>74535</v>
      </c>
      <c r="L74" t="s">
        <v>33</v>
      </c>
      <c r="M74" s="2">
        <v>0.48</v>
      </c>
      <c r="N74" s="2">
        <v>0.6</v>
      </c>
      <c r="O74" s="2">
        <v>45862.21</v>
      </c>
      <c r="P74" s="2">
        <v>0</v>
      </c>
      <c r="Q74">
        <f t="shared" si="4"/>
        <v>62346.666666666672</v>
      </c>
      <c r="R74">
        <f t="shared" ca="1" si="5"/>
        <v>27</v>
      </c>
      <c r="S74" s="2">
        <f t="shared" si="6"/>
        <v>8454.2099999999991</v>
      </c>
      <c r="T74" s="18">
        <v>0.1</v>
      </c>
      <c r="U74">
        <f t="shared" si="7"/>
        <v>9299.6309999999994</v>
      </c>
    </row>
    <row r="75" spans="1:21" x14ac:dyDescent="0.3">
      <c r="A75" t="s">
        <v>191</v>
      </c>
      <c r="B75" s="1">
        <v>44211</v>
      </c>
      <c r="C75" t="s">
        <v>192</v>
      </c>
      <c r="D75" s="3" t="s">
        <v>65</v>
      </c>
      <c r="E75" s="2">
        <v>29470</v>
      </c>
      <c r="F75" s="2">
        <v>10.199999999999999</v>
      </c>
      <c r="G75" s="4">
        <v>36</v>
      </c>
      <c r="H75" t="s">
        <v>26</v>
      </c>
      <c r="I75" t="s">
        <v>73</v>
      </c>
      <c r="J75" t="s">
        <v>32</v>
      </c>
      <c r="K75" s="2">
        <v>108542</v>
      </c>
      <c r="L75" t="s">
        <v>29</v>
      </c>
      <c r="M75" s="2">
        <v>0.19</v>
      </c>
      <c r="N75" s="2">
        <v>0.88</v>
      </c>
      <c r="O75" s="2">
        <v>10081.43</v>
      </c>
      <c r="P75" s="2">
        <v>0</v>
      </c>
      <c r="Q75">
        <f t="shared" si="4"/>
        <v>33488.63636363636</v>
      </c>
      <c r="R75">
        <f t="shared" ca="1" si="5"/>
        <v>62</v>
      </c>
      <c r="S75" s="2">
        <f t="shared" si="6"/>
        <v>-19388.57</v>
      </c>
      <c r="T75" s="18">
        <v>0.1</v>
      </c>
      <c r="U75">
        <f t="shared" si="7"/>
        <v>-21327.427</v>
      </c>
    </row>
    <row r="76" spans="1:21" x14ac:dyDescent="0.3">
      <c r="A76" t="s">
        <v>193</v>
      </c>
      <c r="B76" s="1">
        <v>44261</v>
      </c>
      <c r="C76" t="s">
        <v>194</v>
      </c>
      <c r="D76" s="3" t="s">
        <v>46</v>
      </c>
      <c r="E76" s="2">
        <v>21491</v>
      </c>
      <c r="F76" s="2">
        <v>15.9</v>
      </c>
      <c r="G76" s="4">
        <v>36</v>
      </c>
      <c r="H76" t="s">
        <v>19</v>
      </c>
      <c r="I76" t="s">
        <v>27</v>
      </c>
      <c r="J76" t="s">
        <v>37</v>
      </c>
      <c r="K76" s="2">
        <v>84319</v>
      </c>
      <c r="L76" t="s">
        <v>29</v>
      </c>
      <c r="M76" s="2">
        <v>0.14000000000000001</v>
      </c>
      <c r="N76" s="2">
        <v>0.68</v>
      </c>
      <c r="O76" s="2">
        <v>24908.07</v>
      </c>
      <c r="P76" s="2">
        <v>0</v>
      </c>
      <c r="Q76">
        <f t="shared" si="4"/>
        <v>31604.411764705881</v>
      </c>
      <c r="R76">
        <f t="shared" ca="1" si="5"/>
        <v>60</v>
      </c>
      <c r="S76" s="2">
        <f t="shared" si="6"/>
        <v>3417.0699999999997</v>
      </c>
      <c r="T76" s="18">
        <v>0.1</v>
      </c>
      <c r="U76">
        <f t="shared" si="7"/>
        <v>3758.777</v>
      </c>
    </row>
    <row r="77" spans="1:21" x14ac:dyDescent="0.3">
      <c r="A77" t="s">
        <v>195</v>
      </c>
      <c r="B77" s="1">
        <v>44717</v>
      </c>
      <c r="C77" t="s">
        <v>196</v>
      </c>
      <c r="D77" s="3" t="s">
        <v>65</v>
      </c>
      <c r="E77" s="2">
        <v>2341</v>
      </c>
      <c r="F77" s="2">
        <v>17.7</v>
      </c>
      <c r="G77" s="4">
        <v>60</v>
      </c>
      <c r="H77" t="s">
        <v>26</v>
      </c>
      <c r="I77" t="s">
        <v>73</v>
      </c>
      <c r="J77" t="s">
        <v>28</v>
      </c>
      <c r="K77" s="2">
        <v>144072</v>
      </c>
      <c r="L77" t="s">
        <v>22</v>
      </c>
      <c r="M77" s="2">
        <v>0.41</v>
      </c>
      <c r="N77" s="2">
        <v>0.61</v>
      </c>
      <c r="O77" s="2">
        <v>714.53</v>
      </c>
      <c r="P77" s="2">
        <v>0</v>
      </c>
      <c r="Q77">
        <f t="shared" si="4"/>
        <v>3837.7049180327872</v>
      </c>
      <c r="R77">
        <f t="shared" ca="1" si="5"/>
        <v>45</v>
      </c>
      <c r="S77" s="2">
        <f t="shared" si="6"/>
        <v>-1626.47</v>
      </c>
      <c r="T77" s="18">
        <v>0.1</v>
      </c>
      <c r="U77">
        <f t="shared" si="7"/>
        <v>-1789.1170000000002</v>
      </c>
    </row>
    <row r="78" spans="1:21" x14ac:dyDescent="0.3">
      <c r="A78" t="s">
        <v>197</v>
      </c>
      <c r="B78" s="1">
        <v>44844</v>
      </c>
      <c r="C78" t="s">
        <v>198</v>
      </c>
      <c r="D78" s="3" t="s">
        <v>65</v>
      </c>
      <c r="E78" s="2">
        <v>25791</v>
      </c>
      <c r="F78" s="2">
        <v>9.4</v>
      </c>
      <c r="G78" s="4">
        <v>60</v>
      </c>
      <c r="H78" t="s">
        <v>26</v>
      </c>
      <c r="I78" t="s">
        <v>27</v>
      </c>
      <c r="J78" t="s">
        <v>32</v>
      </c>
      <c r="K78" s="2">
        <v>122067</v>
      </c>
      <c r="L78" t="s">
        <v>33</v>
      </c>
      <c r="M78" s="2">
        <v>0.3</v>
      </c>
      <c r="N78" s="2">
        <v>0.87</v>
      </c>
      <c r="O78" s="2">
        <v>7712.63</v>
      </c>
      <c r="P78" s="2">
        <v>0</v>
      </c>
      <c r="Q78">
        <f t="shared" si="4"/>
        <v>29644.827586206895</v>
      </c>
      <c r="R78">
        <f t="shared" ca="1" si="5"/>
        <v>41</v>
      </c>
      <c r="S78" s="2">
        <f t="shared" si="6"/>
        <v>-18078.37</v>
      </c>
      <c r="T78" s="18">
        <v>0.1</v>
      </c>
      <c r="U78">
        <f t="shared" si="7"/>
        <v>-19886.207000000002</v>
      </c>
    </row>
    <row r="79" spans="1:21" x14ac:dyDescent="0.3">
      <c r="A79" t="s">
        <v>199</v>
      </c>
      <c r="B79" s="1">
        <v>45283</v>
      </c>
      <c r="C79" t="s">
        <v>200</v>
      </c>
      <c r="D79" s="3" t="s">
        <v>25</v>
      </c>
      <c r="E79" s="2">
        <v>1338</v>
      </c>
      <c r="F79" s="2">
        <v>24.6</v>
      </c>
      <c r="G79" s="4">
        <v>36</v>
      </c>
      <c r="H79" t="s">
        <v>19</v>
      </c>
      <c r="I79" t="s">
        <v>20</v>
      </c>
      <c r="J79" t="s">
        <v>21</v>
      </c>
      <c r="K79" s="2">
        <v>51639</v>
      </c>
      <c r="L79" t="s">
        <v>29</v>
      </c>
      <c r="M79" s="2">
        <v>0.27</v>
      </c>
      <c r="N79" s="2">
        <v>0.65</v>
      </c>
      <c r="O79" s="2">
        <v>1667.15</v>
      </c>
      <c r="P79" s="2">
        <v>0</v>
      </c>
      <c r="Q79">
        <f t="shared" si="4"/>
        <v>2058.4615384615386</v>
      </c>
      <c r="R79">
        <f t="shared" ca="1" si="5"/>
        <v>26</v>
      </c>
      <c r="S79" s="2">
        <f t="shared" si="6"/>
        <v>329.15000000000009</v>
      </c>
      <c r="T79" s="18">
        <v>0.1</v>
      </c>
      <c r="U79">
        <f t="shared" si="7"/>
        <v>362.06500000000011</v>
      </c>
    </row>
    <row r="80" spans="1:21" x14ac:dyDescent="0.3">
      <c r="A80" t="s">
        <v>201</v>
      </c>
      <c r="B80" s="1">
        <v>44789</v>
      </c>
      <c r="C80" t="s">
        <v>202</v>
      </c>
      <c r="D80" s="3" t="s">
        <v>76</v>
      </c>
      <c r="E80" s="2">
        <v>6895</v>
      </c>
      <c r="F80" s="2">
        <v>20</v>
      </c>
      <c r="G80" s="4">
        <v>60</v>
      </c>
      <c r="H80" t="s">
        <v>19</v>
      </c>
      <c r="I80" t="s">
        <v>36</v>
      </c>
      <c r="J80" t="s">
        <v>28</v>
      </c>
      <c r="K80" s="2">
        <v>94712</v>
      </c>
      <c r="L80" t="s">
        <v>22</v>
      </c>
      <c r="M80" s="2">
        <v>0.2</v>
      </c>
      <c r="N80" s="2">
        <v>0.55000000000000004</v>
      </c>
      <c r="O80" s="2">
        <v>8274</v>
      </c>
      <c r="P80" s="2">
        <v>0</v>
      </c>
      <c r="Q80">
        <f t="shared" si="4"/>
        <v>12536.363636363636</v>
      </c>
      <c r="R80">
        <f t="shared" ca="1" si="5"/>
        <v>43</v>
      </c>
      <c r="S80" s="2">
        <f t="shared" si="6"/>
        <v>1379</v>
      </c>
      <c r="T80" s="18">
        <v>0.1</v>
      </c>
      <c r="U80">
        <f t="shared" si="7"/>
        <v>1516.9</v>
      </c>
    </row>
    <row r="81" spans="1:21" x14ac:dyDescent="0.3">
      <c r="A81" t="s">
        <v>203</v>
      </c>
      <c r="B81" s="1">
        <v>44588</v>
      </c>
      <c r="C81" t="s">
        <v>204</v>
      </c>
      <c r="D81" s="3" t="s">
        <v>65</v>
      </c>
      <c r="E81" s="2">
        <v>13254</v>
      </c>
      <c r="F81" s="2">
        <v>16.2</v>
      </c>
      <c r="G81" s="4">
        <v>60</v>
      </c>
      <c r="H81" t="s">
        <v>19</v>
      </c>
      <c r="I81" t="s">
        <v>73</v>
      </c>
      <c r="J81" t="s">
        <v>28</v>
      </c>
      <c r="K81" s="2">
        <v>46633</v>
      </c>
      <c r="L81" t="s">
        <v>29</v>
      </c>
      <c r="M81" s="2">
        <v>0.32</v>
      </c>
      <c r="N81" s="2">
        <v>0.76</v>
      </c>
      <c r="O81" s="2">
        <v>15401.15</v>
      </c>
      <c r="P81" s="2">
        <v>0</v>
      </c>
      <c r="Q81">
        <f t="shared" si="4"/>
        <v>17439.473684210527</v>
      </c>
      <c r="R81">
        <f t="shared" ca="1" si="5"/>
        <v>49</v>
      </c>
      <c r="S81" s="2">
        <f t="shared" si="6"/>
        <v>2147.1499999999996</v>
      </c>
      <c r="T81" s="18">
        <v>0.1</v>
      </c>
      <c r="U81">
        <f t="shared" si="7"/>
        <v>2361.8649999999998</v>
      </c>
    </row>
    <row r="82" spans="1:21" x14ac:dyDescent="0.3">
      <c r="A82" t="s">
        <v>205</v>
      </c>
      <c r="B82" s="1">
        <v>44615</v>
      </c>
      <c r="C82" t="s">
        <v>206</v>
      </c>
      <c r="D82" s="3" t="s">
        <v>25</v>
      </c>
      <c r="E82" s="2">
        <v>12344</v>
      </c>
      <c r="F82" s="2">
        <v>8.6</v>
      </c>
      <c r="G82" s="4">
        <v>60</v>
      </c>
      <c r="H82" t="s">
        <v>19</v>
      </c>
      <c r="I82" t="s">
        <v>20</v>
      </c>
      <c r="J82" t="s">
        <v>21</v>
      </c>
      <c r="K82" s="2">
        <v>64660</v>
      </c>
      <c r="L82" t="s">
        <v>29</v>
      </c>
      <c r="M82" s="2">
        <v>0.21</v>
      </c>
      <c r="N82" s="2">
        <v>0.76</v>
      </c>
      <c r="O82" s="2">
        <v>13405.58</v>
      </c>
      <c r="P82" s="2">
        <v>0</v>
      </c>
      <c r="Q82">
        <f t="shared" si="4"/>
        <v>16242.105263157895</v>
      </c>
      <c r="R82">
        <f t="shared" ca="1" si="5"/>
        <v>48</v>
      </c>
      <c r="S82" s="2">
        <f t="shared" si="6"/>
        <v>1061.58</v>
      </c>
      <c r="T82" s="18">
        <v>0.1</v>
      </c>
      <c r="U82">
        <f t="shared" si="7"/>
        <v>1167.7380000000001</v>
      </c>
    </row>
    <row r="83" spans="1:21" x14ac:dyDescent="0.3">
      <c r="A83" t="s">
        <v>207</v>
      </c>
      <c r="B83" s="1">
        <v>44485</v>
      </c>
      <c r="C83" t="s">
        <v>208</v>
      </c>
      <c r="D83" s="3" t="s">
        <v>76</v>
      </c>
      <c r="E83" s="2">
        <v>2750</v>
      </c>
      <c r="F83" s="2">
        <v>6.1</v>
      </c>
      <c r="G83" s="4">
        <v>60</v>
      </c>
      <c r="H83" t="s">
        <v>26</v>
      </c>
      <c r="I83" t="s">
        <v>73</v>
      </c>
      <c r="J83" t="s">
        <v>28</v>
      </c>
      <c r="K83" s="2">
        <v>98975</v>
      </c>
      <c r="L83" t="s">
        <v>22</v>
      </c>
      <c r="M83" s="2">
        <v>0.46</v>
      </c>
      <c r="N83" s="2">
        <v>0.82</v>
      </c>
      <c r="O83" s="2">
        <v>176.92</v>
      </c>
      <c r="P83" s="2">
        <v>0</v>
      </c>
      <c r="Q83">
        <f t="shared" si="4"/>
        <v>3353.6585365853662</v>
      </c>
      <c r="R83">
        <f t="shared" ca="1" si="5"/>
        <v>53</v>
      </c>
      <c r="S83" s="2">
        <f t="shared" si="6"/>
        <v>-2573.08</v>
      </c>
      <c r="T83" s="18">
        <v>0.1</v>
      </c>
      <c r="U83">
        <f t="shared" si="7"/>
        <v>-2830.3880000000004</v>
      </c>
    </row>
    <row r="84" spans="1:21" x14ac:dyDescent="0.3">
      <c r="A84" t="s">
        <v>209</v>
      </c>
      <c r="B84" s="1">
        <v>44575</v>
      </c>
      <c r="C84" t="s">
        <v>210</v>
      </c>
      <c r="D84" s="3" t="s">
        <v>25</v>
      </c>
      <c r="E84" s="2">
        <v>3421</v>
      </c>
      <c r="F84" s="2">
        <v>11.4</v>
      </c>
      <c r="G84" s="4">
        <v>36</v>
      </c>
      <c r="H84" t="s">
        <v>19</v>
      </c>
      <c r="I84" t="s">
        <v>84</v>
      </c>
      <c r="J84" t="s">
        <v>32</v>
      </c>
      <c r="K84" s="2">
        <v>62172</v>
      </c>
      <c r="L84" t="s">
        <v>22</v>
      </c>
      <c r="M84" s="2">
        <v>0.19</v>
      </c>
      <c r="N84" s="2">
        <v>0.61</v>
      </c>
      <c r="O84" s="2">
        <v>3810.99</v>
      </c>
      <c r="P84" s="2">
        <v>0</v>
      </c>
      <c r="Q84">
        <f t="shared" si="4"/>
        <v>5608.1967213114758</v>
      </c>
      <c r="R84">
        <f t="shared" ca="1" si="5"/>
        <v>50</v>
      </c>
      <c r="S84" s="2">
        <f t="shared" si="6"/>
        <v>389.98999999999978</v>
      </c>
      <c r="T84" s="18">
        <v>0.1</v>
      </c>
      <c r="U84">
        <f t="shared" si="7"/>
        <v>428.98899999999981</v>
      </c>
    </row>
    <row r="85" spans="1:21" x14ac:dyDescent="0.3">
      <c r="A85" t="s">
        <v>211</v>
      </c>
      <c r="B85" s="1">
        <v>44427</v>
      </c>
      <c r="C85" t="s">
        <v>212</v>
      </c>
      <c r="D85" s="3" t="s">
        <v>46</v>
      </c>
      <c r="E85" s="2">
        <v>6319</v>
      </c>
      <c r="F85" s="2">
        <v>20.100000000000001</v>
      </c>
      <c r="G85" s="4">
        <v>36</v>
      </c>
      <c r="H85" t="s">
        <v>26</v>
      </c>
      <c r="I85" t="s">
        <v>36</v>
      </c>
      <c r="J85" t="s">
        <v>28</v>
      </c>
      <c r="K85" s="2">
        <v>89197</v>
      </c>
      <c r="L85" t="s">
        <v>33</v>
      </c>
      <c r="M85" s="2">
        <v>0.45</v>
      </c>
      <c r="N85" s="2">
        <v>0.7</v>
      </c>
      <c r="O85" s="2">
        <v>1650.44</v>
      </c>
      <c r="P85" s="2">
        <v>0</v>
      </c>
      <c r="Q85">
        <f t="shared" si="4"/>
        <v>9027.1428571428569</v>
      </c>
      <c r="R85">
        <f t="shared" ca="1" si="5"/>
        <v>55</v>
      </c>
      <c r="S85" s="2">
        <f t="shared" si="6"/>
        <v>-4668.5599999999995</v>
      </c>
      <c r="T85" s="18">
        <v>0.1</v>
      </c>
      <c r="U85">
        <f t="shared" si="7"/>
        <v>-5135.4160000000002</v>
      </c>
    </row>
    <row r="86" spans="1:21" x14ac:dyDescent="0.3">
      <c r="A86" t="s">
        <v>213</v>
      </c>
      <c r="B86" s="1">
        <v>45214</v>
      </c>
      <c r="C86" t="s">
        <v>214</v>
      </c>
      <c r="D86" s="3" t="s">
        <v>53</v>
      </c>
      <c r="E86" s="2">
        <v>16896</v>
      </c>
      <c r="F86" s="2">
        <v>10.4</v>
      </c>
      <c r="G86" s="4">
        <v>36</v>
      </c>
      <c r="H86" t="s">
        <v>19</v>
      </c>
      <c r="I86" t="s">
        <v>57</v>
      </c>
      <c r="J86" t="s">
        <v>32</v>
      </c>
      <c r="K86" s="2">
        <v>131158</v>
      </c>
      <c r="L86" t="s">
        <v>29</v>
      </c>
      <c r="M86" s="2">
        <v>0.32</v>
      </c>
      <c r="N86" s="2">
        <v>0.63</v>
      </c>
      <c r="O86" s="2">
        <v>18653.18</v>
      </c>
      <c r="P86" s="2">
        <v>0</v>
      </c>
      <c r="Q86">
        <f t="shared" si="4"/>
        <v>26819.047619047618</v>
      </c>
      <c r="R86">
        <f t="shared" ca="1" si="5"/>
        <v>29</v>
      </c>
      <c r="S86" s="2">
        <f t="shared" si="6"/>
        <v>1757.1800000000003</v>
      </c>
      <c r="T86" s="18">
        <v>0.1</v>
      </c>
      <c r="U86">
        <f t="shared" si="7"/>
        <v>1932.8980000000004</v>
      </c>
    </row>
    <row r="87" spans="1:21" x14ac:dyDescent="0.3">
      <c r="A87" t="s">
        <v>215</v>
      </c>
      <c r="B87" s="1">
        <v>44237</v>
      </c>
      <c r="C87" t="s">
        <v>216</v>
      </c>
      <c r="D87" s="3" t="s">
        <v>76</v>
      </c>
      <c r="E87" s="2">
        <v>12918</v>
      </c>
      <c r="F87" s="2">
        <v>15.8</v>
      </c>
      <c r="G87" s="4">
        <v>60</v>
      </c>
      <c r="H87" t="s">
        <v>19</v>
      </c>
      <c r="I87" t="s">
        <v>27</v>
      </c>
      <c r="J87" t="s">
        <v>21</v>
      </c>
      <c r="K87" s="2">
        <v>88847</v>
      </c>
      <c r="L87" t="s">
        <v>33</v>
      </c>
      <c r="M87" s="2">
        <v>0.43</v>
      </c>
      <c r="N87" s="2">
        <v>0.54</v>
      </c>
      <c r="O87" s="2">
        <v>14959.04</v>
      </c>
      <c r="P87" s="2">
        <v>0</v>
      </c>
      <c r="Q87">
        <f t="shared" si="4"/>
        <v>23922.222222222219</v>
      </c>
      <c r="R87">
        <f t="shared" ca="1" si="5"/>
        <v>61</v>
      </c>
      <c r="S87" s="2">
        <f t="shared" si="6"/>
        <v>2041.0400000000009</v>
      </c>
      <c r="T87" s="18">
        <v>0.1</v>
      </c>
      <c r="U87">
        <f t="shared" si="7"/>
        <v>2245.1440000000011</v>
      </c>
    </row>
    <row r="88" spans="1:21" x14ac:dyDescent="0.3">
      <c r="A88" t="s">
        <v>217</v>
      </c>
      <c r="B88" s="1">
        <v>45248</v>
      </c>
      <c r="C88" t="s">
        <v>218</v>
      </c>
      <c r="D88" s="3" t="s">
        <v>50</v>
      </c>
      <c r="E88" s="2">
        <v>26064</v>
      </c>
      <c r="F88" s="2">
        <v>19.600000000000001</v>
      </c>
      <c r="G88" s="4">
        <v>60</v>
      </c>
      <c r="H88" t="s">
        <v>19</v>
      </c>
      <c r="I88" t="s">
        <v>20</v>
      </c>
      <c r="J88" t="s">
        <v>47</v>
      </c>
      <c r="K88" s="2">
        <v>41577</v>
      </c>
      <c r="L88" t="s">
        <v>22</v>
      </c>
      <c r="M88" s="2">
        <v>0.39</v>
      </c>
      <c r="N88" s="2">
        <v>0.89</v>
      </c>
      <c r="O88" s="2">
        <v>31172.54</v>
      </c>
      <c r="P88" s="2">
        <v>0</v>
      </c>
      <c r="Q88">
        <f t="shared" si="4"/>
        <v>29285.393258426964</v>
      </c>
      <c r="R88">
        <f t="shared" ca="1" si="5"/>
        <v>28</v>
      </c>
      <c r="S88" s="2">
        <f t="shared" si="6"/>
        <v>5108.5400000000009</v>
      </c>
      <c r="T88" s="18">
        <v>0.1</v>
      </c>
      <c r="U88">
        <f t="shared" si="7"/>
        <v>5619.3940000000011</v>
      </c>
    </row>
    <row r="89" spans="1:21" x14ac:dyDescent="0.3">
      <c r="A89" t="s">
        <v>219</v>
      </c>
      <c r="B89" s="1">
        <v>44331</v>
      </c>
      <c r="C89" t="s">
        <v>220</v>
      </c>
      <c r="D89" s="3" t="s">
        <v>53</v>
      </c>
      <c r="E89" s="2">
        <v>28935</v>
      </c>
      <c r="F89" s="2">
        <v>7.2</v>
      </c>
      <c r="G89" s="4">
        <v>60</v>
      </c>
      <c r="H89" t="s">
        <v>19</v>
      </c>
      <c r="I89" t="s">
        <v>20</v>
      </c>
      <c r="J89" t="s">
        <v>21</v>
      </c>
      <c r="K89" s="2">
        <v>107299</v>
      </c>
      <c r="L89" t="s">
        <v>22</v>
      </c>
      <c r="M89" s="2">
        <v>0.38</v>
      </c>
      <c r="N89" s="2">
        <v>0.83</v>
      </c>
      <c r="O89" s="2">
        <v>31018.32</v>
      </c>
      <c r="P89" s="2">
        <v>0</v>
      </c>
      <c r="Q89">
        <f t="shared" si="4"/>
        <v>34861.445783132534</v>
      </c>
      <c r="R89">
        <f t="shared" ca="1" si="5"/>
        <v>58</v>
      </c>
      <c r="S89" s="2">
        <f t="shared" si="6"/>
        <v>2083.3199999999997</v>
      </c>
      <c r="T89" s="18">
        <v>0.1</v>
      </c>
      <c r="U89">
        <f t="shared" si="7"/>
        <v>2291.652</v>
      </c>
    </row>
    <row r="90" spans="1:21" x14ac:dyDescent="0.3">
      <c r="A90" t="s">
        <v>221</v>
      </c>
      <c r="B90" s="1">
        <v>44397</v>
      </c>
      <c r="C90" t="s">
        <v>222</v>
      </c>
      <c r="D90" s="3" t="s">
        <v>46</v>
      </c>
      <c r="E90" s="2">
        <v>38641</v>
      </c>
      <c r="F90" s="2">
        <v>18.7</v>
      </c>
      <c r="G90" s="4">
        <v>60</v>
      </c>
      <c r="H90" t="s">
        <v>19</v>
      </c>
      <c r="I90" t="s">
        <v>73</v>
      </c>
      <c r="J90" t="s">
        <v>32</v>
      </c>
      <c r="K90" s="2">
        <v>50176</v>
      </c>
      <c r="L90" t="s">
        <v>29</v>
      </c>
      <c r="M90" s="2">
        <v>0.23</v>
      </c>
      <c r="N90" s="2">
        <v>0.64</v>
      </c>
      <c r="O90" s="2">
        <v>45866.87</v>
      </c>
      <c r="P90" s="2">
        <v>0</v>
      </c>
      <c r="Q90">
        <f t="shared" si="4"/>
        <v>60376.5625</v>
      </c>
      <c r="R90">
        <f t="shared" ca="1" si="5"/>
        <v>55</v>
      </c>
      <c r="S90" s="2">
        <f t="shared" si="6"/>
        <v>7225.8700000000026</v>
      </c>
      <c r="T90" s="18">
        <v>0.1</v>
      </c>
      <c r="U90">
        <f t="shared" si="7"/>
        <v>7948.457000000004</v>
      </c>
    </row>
    <row r="91" spans="1:21" x14ac:dyDescent="0.3">
      <c r="A91" t="s">
        <v>223</v>
      </c>
      <c r="B91" s="1">
        <v>44976</v>
      </c>
      <c r="C91" t="s">
        <v>224</v>
      </c>
      <c r="D91" s="3" t="s">
        <v>65</v>
      </c>
      <c r="E91" s="2">
        <v>30711</v>
      </c>
      <c r="F91" s="2">
        <v>6.8</v>
      </c>
      <c r="G91" s="4">
        <v>60</v>
      </c>
      <c r="H91" t="s">
        <v>19</v>
      </c>
      <c r="I91" t="s">
        <v>27</v>
      </c>
      <c r="J91" t="s">
        <v>37</v>
      </c>
      <c r="K91" s="2">
        <v>74386</v>
      </c>
      <c r="L91" t="s">
        <v>33</v>
      </c>
      <c r="M91" s="2">
        <v>0.19</v>
      </c>
      <c r="N91" s="2">
        <v>0.77</v>
      </c>
      <c r="O91" s="2">
        <v>32799.35</v>
      </c>
      <c r="P91" s="2">
        <v>0</v>
      </c>
      <c r="Q91">
        <f t="shared" si="4"/>
        <v>39884.415584415583</v>
      </c>
      <c r="R91">
        <f t="shared" ca="1" si="5"/>
        <v>37</v>
      </c>
      <c r="S91" s="2">
        <f t="shared" si="6"/>
        <v>2088.3499999999985</v>
      </c>
      <c r="T91" s="18">
        <v>0.1</v>
      </c>
      <c r="U91">
        <f t="shared" si="7"/>
        <v>2297.1849999999986</v>
      </c>
    </row>
    <row r="92" spans="1:21" x14ac:dyDescent="0.3">
      <c r="A92" t="s">
        <v>225</v>
      </c>
      <c r="B92" s="1">
        <v>45126</v>
      </c>
      <c r="C92" t="s">
        <v>226</v>
      </c>
      <c r="D92" s="3" t="s">
        <v>18</v>
      </c>
      <c r="E92" s="2">
        <v>5806</v>
      </c>
      <c r="F92" s="2">
        <v>24.3</v>
      </c>
      <c r="G92" s="4">
        <v>36</v>
      </c>
      <c r="H92" t="s">
        <v>81</v>
      </c>
      <c r="I92" t="s">
        <v>84</v>
      </c>
      <c r="J92" t="s">
        <v>21</v>
      </c>
      <c r="K92" s="2">
        <v>93972</v>
      </c>
      <c r="L92" t="s">
        <v>33</v>
      </c>
      <c r="M92" s="2">
        <v>0.18</v>
      </c>
      <c r="N92" s="2">
        <v>0.59</v>
      </c>
      <c r="O92" s="2">
        <v>2191.11</v>
      </c>
      <c r="P92" s="2">
        <v>417.13</v>
      </c>
      <c r="Q92">
        <f t="shared" si="4"/>
        <v>9840.6779661016953</v>
      </c>
      <c r="R92">
        <f t="shared" ca="1" si="5"/>
        <v>32</v>
      </c>
      <c r="S92" s="2">
        <f t="shared" si="6"/>
        <v>-3197.7599999999998</v>
      </c>
      <c r="T92" s="18">
        <v>0.1</v>
      </c>
      <c r="U92">
        <f t="shared" si="7"/>
        <v>-3517.5360000000001</v>
      </c>
    </row>
    <row r="93" spans="1:21" x14ac:dyDescent="0.3">
      <c r="A93" t="s">
        <v>227</v>
      </c>
      <c r="B93" s="1">
        <v>45253</v>
      </c>
      <c r="C93" t="s">
        <v>228</v>
      </c>
      <c r="D93" s="3" t="s">
        <v>46</v>
      </c>
      <c r="E93" s="2">
        <v>13182</v>
      </c>
      <c r="F93" s="2">
        <v>14.8</v>
      </c>
      <c r="G93" s="4">
        <v>60</v>
      </c>
      <c r="H93" t="s">
        <v>26</v>
      </c>
      <c r="I93" t="s">
        <v>57</v>
      </c>
      <c r="J93" t="s">
        <v>37</v>
      </c>
      <c r="K93" s="2">
        <v>119791</v>
      </c>
      <c r="L93" t="s">
        <v>29</v>
      </c>
      <c r="M93" s="2">
        <v>0.44</v>
      </c>
      <c r="N93" s="2">
        <v>0.9</v>
      </c>
      <c r="O93" s="2">
        <v>3017.58</v>
      </c>
      <c r="P93" s="2">
        <v>0</v>
      </c>
      <c r="Q93">
        <f t="shared" si="4"/>
        <v>14646.666666666666</v>
      </c>
      <c r="R93">
        <f t="shared" ca="1" si="5"/>
        <v>27</v>
      </c>
      <c r="S93" s="2">
        <f t="shared" si="6"/>
        <v>-10164.42</v>
      </c>
      <c r="T93" s="18">
        <v>0.1</v>
      </c>
      <c r="U93">
        <f t="shared" si="7"/>
        <v>-11180.862000000001</v>
      </c>
    </row>
    <row r="94" spans="1:21" x14ac:dyDescent="0.3">
      <c r="A94" t="s">
        <v>229</v>
      </c>
      <c r="B94" s="1">
        <v>45268</v>
      </c>
      <c r="C94" t="s">
        <v>230</v>
      </c>
      <c r="D94" s="3" t="s">
        <v>25</v>
      </c>
      <c r="E94" s="2">
        <v>23297</v>
      </c>
      <c r="F94" s="2">
        <v>8</v>
      </c>
      <c r="G94" s="4">
        <v>60</v>
      </c>
      <c r="H94" t="s">
        <v>19</v>
      </c>
      <c r="I94" t="s">
        <v>20</v>
      </c>
      <c r="J94" t="s">
        <v>37</v>
      </c>
      <c r="K94" s="2">
        <v>71003</v>
      </c>
      <c r="L94" t="s">
        <v>29</v>
      </c>
      <c r="M94" s="2">
        <v>0.43</v>
      </c>
      <c r="N94" s="2">
        <v>0.55000000000000004</v>
      </c>
      <c r="O94" s="2">
        <v>25160.76</v>
      </c>
      <c r="P94" s="2">
        <v>0</v>
      </c>
      <c r="Q94">
        <f t="shared" si="4"/>
        <v>42358.181818181816</v>
      </c>
      <c r="R94">
        <f t="shared" ca="1" si="5"/>
        <v>27</v>
      </c>
      <c r="S94" s="2">
        <f t="shared" si="6"/>
        <v>1863.7599999999984</v>
      </c>
      <c r="T94" s="18">
        <v>0.1</v>
      </c>
      <c r="U94">
        <f t="shared" si="7"/>
        <v>2050.1359999999986</v>
      </c>
    </row>
    <row r="95" spans="1:21" x14ac:dyDescent="0.3">
      <c r="A95" t="s">
        <v>231</v>
      </c>
      <c r="B95" s="1">
        <v>44699</v>
      </c>
      <c r="C95" t="s">
        <v>232</v>
      </c>
      <c r="D95" s="3" t="s">
        <v>25</v>
      </c>
      <c r="E95" s="2">
        <v>20541</v>
      </c>
      <c r="F95" s="2">
        <v>11.8</v>
      </c>
      <c r="G95" s="4">
        <v>36</v>
      </c>
      <c r="H95" t="s">
        <v>19</v>
      </c>
      <c r="I95" t="s">
        <v>73</v>
      </c>
      <c r="J95" t="s">
        <v>32</v>
      </c>
      <c r="K95" s="2">
        <v>49996</v>
      </c>
      <c r="L95" t="s">
        <v>33</v>
      </c>
      <c r="M95" s="2">
        <v>0.28000000000000003</v>
      </c>
      <c r="N95" s="2">
        <v>0.5</v>
      </c>
      <c r="O95" s="2">
        <v>22964.84</v>
      </c>
      <c r="P95" s="2">
        <v>0</v>
      </c>
      <c r="Q95">
        <f t="shared" si="4"/>
        <v>41082</v>
      </c>
      <c r="R95">
        <f t="shared" ca="1" si="5"/>
        <v>46</v>
      </c>
      <c r="S95" s="2">
        <f t="shared" si="6"/>
        <v>2423.84</v>
      </c>
      <c r="T95" s="18">
        <v>0.1</v>
      </c>
      <c r="U95">
        <f t="shared" si="7"/>
        <v>2666.2240000000002</v>
      </c>
    </row>
    <row r="96" spans="1:21" x14ac:dyDescent="0.3">
      <c r="A96" t="s">
        <v>233</v>
      </c>
      <c r="B96" s="1">
        <v>44603</v>
      </c>
      <c r="C96" t="s">
        <v>234</v>
      </c>
      <c r="D96" s="3" t="s">
        <v>25</v>
      </c>
      <c r="E96" s="2">
        <v>29921</v>
      </c>
      <c r="F96" s="2">
        <v>13.3</v>
      </c>
      <c r="G96" s="4">
        <v>60</v>
      </c>
      <c r="H96" t="s">
        <v>19</v>
      </c>
      <c r="I96" t="s">
        <v>20</v>
      </c>
      <c r="J96" t="s">
        <v>32</v>
      </c>
      <c r="K96" s="2">
        <v>130922</v>
      </c>
      <c r="L96" t="s">
        <v>22</v>
      </c>
      <c r="M96" s="2">
        <v>0.15</v>
      </c>
      <c r="N96" s="2">
        <v>0.73</v>
      </c>
      <c r="O96" s="2">
        <v>33900.49</v>
      </c>
      <c r="P96" s="2">
        <v>0</v>
      </c>
      <c r="Q96">
        <f t="shared" si="4"/>
        <v>40987.67123287671</v>
      </c>
      <c r="R96">
        <f t="shared" ca="1" si="5"/>
        <v>49</v>
      </c>
      <c r="S96" s="2">
        <f t="shared" si="6"/>
        <v>3979.489999999998</v>
      </c>
      <c r="T96" s="18">
        <v>0.1</v>
      </c>
      <c r="U96">
        <f t="shared" si="7"/>
        <v>4377.4389999999985</v>
      </c>
    </row>
    <row r="97" spans="1:21" x14ac:dyDescent="0.3">
      <c r="A97" t="s">
        <v>235</v>
      </c>
      <c r="B97" s="1">
        <v>45001</v>
      </c>
      <c r="C97" t="s">
        <v>236</v>
      </c>
      <c r="D97" s="3" t="s">
        <v>25</v>
      </c>
      <c r="E97" s="2">
        <v>17774</v>
      </c>
      <c r="F97" s="2">
        <v>20.2</v>
      </c>
      <c r="G97" s="4">
        <v>36</v>
      </c>
      <c r="H97" t="s">
        <v>19</v>
      </c>
      <c r="I97" t="s">
        <v>20</v>
      </c>
      <c r="J97" t="s">
        <v>47</v>
      </c>
      <c r="K97" s="2">
        <v>116598</v>
      </c>
      <c r="L97" t="s">
        <v>22</v>
      </c>
      <c r="M97" s="2">
        <v>0.25</v>
      </c>
      <c r="N97" s="2">
        <v>0.76</v>
      </c>
      <c r="O97" s="2">
        <v>21364.35</v>
      </c>
      <c r="P97" s="2">
        <v>0</v>
      </c>
      <c r="Q97">
        <f t="shared" si="4"/>
        <v>23386.842105263157</v>
      </c>
      <c r="R97">
        <f t="shared" ca="1" si="5"/>
        <v>36</v>
      </c>
      <c r="S97" s="2">
        <f t="shared" si="6"/>
        <v>3590.3499999999985</v>
      </c>
      <c r="T97" s="18">
        <v>0.1</v>
      </c>
      <c r="U97">
        <f t="shared" si="7"/>
        <v>3949.3849999999989</v>
      </c>
    </row>
    <row r="98" spans="1:21" x14ac:dyDescent="0.3">
      <c r="A98" t="s">
        <v>237</v>
      </c>
      <c r="B98" s="1">
        <v>44295</v>
      </c>
      <c r="C98" t="s">
        <v>238</v>
      </c>
      <c r="D98" s="3" t="s">
        <v>46</v>
      </c>
      <c r="E98" s="2">
        <v>38198</v>
      </c>
      <c r="F98" s="2">
        <v>19.899999999999999</v>
      </c>
      <c r="G98" s="4">
        <v>36</v>
      </c>
      <c r="H98" t="s">
        <v>19</v>
      </c>
      <c r="I98" t="s">
        <v>57</v>
      </c>
      <c r="J98" t="s">
        <v>28</v>
      </c>
      <c r="K98" s="2">
        <v>65931</v>
      </c>
      <c r="L98" t="s">
        <v>29</v>
      </c>
      <c r="M98" s="2">
        <v>0.35</v>
      </c>
      <c r="N98" s="2">
        <v>0.76</v>
      </c>
      <c r="O98" s="2">
        <v>45799.4</v>
      </c>
      <c r="P98" s="2">
        <v>0</v>
      </c>
      <c r="Q98">
        <f t="shared" si="4"/>
        <v>50260.526315789473</v>
      </c>
      <c r="R98">
        <f t="shared" ca="1" si="5"/>
        <v>59</v>
      </c>
      <c r="S98" s="2">
        <f t="shared" si="6"/>
        <v>7601.4000000000015</v>
      </c>
      <c r="T98" s="18">
        <v>0.1</v>
      </c>
      <c r="U98">
        <f t="shared" si="7"/>
        <v>8361.5400000000027</v>
      </c>
    </row>
    <row r="99" spans="1:21" x14ac:dyDescent="0.3">
      <c r="A99" t="s">
        <v>239</v>
      </c>
      <c r="B99" s="1">
        <v>44880</v>
      </c>
      <c r="C99" t="s">
        <v>240</v>
      </c>
      <c r="D99" s="3" t="s">
        <v>18</v>
      </c>
      <c r="E99" s="2">
        <v>9820</v>
      </c>
      <c r="F99" s="2">
        <v>17.2</v>
      </c>
      <c r="G99" s="4">
        <v>36</v>
      </c>
      <c r="H99" t="s">
        <v>19</v>
      </c>
      <c r="I99" t="s">
        <v>57</v>
      </c>
      <c r="J99" t="s">
        <v>21</v>
      </c>
      <c r="K99" s="2">
        <v>65710</v>
      </c>
      <c r="L99" t="s">
        <v>33</v>
      </c>
      <c r="M99" s="2">
        <v>0.28000000000000003</v>
      </c>
      <c r="N99" s="2">
        <v>0.52</v>
      </c>
      <c r="O99" s="2">
        <v>11509.04</v>
      </c>
      <c r="P99" s="2">
        <v>0</v>
      </c>
      <c r="Q99">
        <f t="shared" si="4"/>
        <v>18884.615384615383</v>
      </c>
      <c r="R99">
        <f t="shared" ca="1" si="5"/>
        <v>40</v>
      </c>
      <c r="S99" s="2">
        <f t="shared" si="6"/>
        <v>1689.0400000000009</v>
      </c>
      <c r="T99" s="18">
        <v>0.1</v>
      </c>
      <c r="U99">
        <f t="shared" si="7"/>
        <v>1857.9440000000011</v>
      </c>
    </row>
    <row r="100" spans="1:21" x14ac:dyDescent="0.3">
      <c r="A100" t="s">
        <v>241</v>
      </c>
      <c r="B100" s="1">
        <v>44922</v>
      </c>
      <c r="C100" t="s">
        <v>242</v>
      </c>
      <c r="D100" s="3" t="s">
        <v>40</v>
      </c>
      <c r="E100" s="2">
        <v>25070</v>
      </c>
      <c r="F100" s="2">
        <v>7.1</v>
      </c>
      <c r="G100" s="4">
        <v>36</v>
      </c>
      <c r="H100" t="s">
        <v>19</v>
      </c>
      <c r="I100" t="s">
        <v>57</v>
      </c>
      <c r="J100" t="s">
        <v>32</v>
      </c>
      <c r="K100" s="2">
        <v>64693</v>
      </c>
      <c r="L100" t="s">
        <v>33</v>
      </c>
      <c r="M100" s="2">
        <v>0.41</v>
      </c>
      <c r="N100" s="2">
        <v>0.64</v>
      </c>
      <c r="O100" s="2">
        <v>26849.97</v>
      </c>
      <c r="P100" s="2">
        <v>0</v>
      </c>
      <c r="Q100">
        <f t="shared" si="4"/>
        <v>39171.875</v>
      </c>
      <c r="R100">
        <f t="shared" ca="1" si="5"/>
        <v>38</v>
      </c>
      <c r="S100" s="2">
        <f t="shared" si="6"/>
        <v>1779.9700000000012</v>
      </c>
      <c r="T100" s="18">
        <v>0.1</v>
      </c>
      <c r="U100">
        <f t="shared" si="7"/>
        <v>1957.9670000000015</v>
      </c>
    </row>
    <row r="101" spans="1:21" x14ac:dyDescent="0.3">
      <c r="A101" t="s">
        <v>243</v>
      </c>
      <c r="B101" s="1">
        <v>45157</v>
      </c>
      <c r="C101" t="s">
        <v>244</v>
      </c>
      <c r="D101" s="3" t="s">
        <v>25</v>
      </c>
      <c r="E101" s="2">
        <v>5232</v>
      </c>
      <c r="F101" s="2">
        <v>8</v>
      </c>
      <c r="G101" s="4">
        <v>36</v>
      </c>
      <c r="H101" t="s">
        <v>19</v>
      </c>
      <c r="I101" t="s">
        <v>73</v>
      </c>
      <c r="J101" t="s">
        <v>21</v>
      </c>
      <c r="K101" s="2">
        <v>65740</v>
      </c>
      <c r="L101" t="s">
        <v>33</v>
      </c>
      <c r="M101" s="2">
        <v>0.5</v>
      </c>
      <c r="N101" s="2">
        <v>0.72</v>
      </c>
      <c r="O101" s="2">
        <v>5650.56</v>
      </c>
      <c r="P101" s="2">
        <v>0</v>
      </c>
      <c r="Q101">
        <f t="shared" si="4"/>
        <v>7266.666666666667</v>
      </c>
      <c r="R101">
        <f t="shared" ca="1" si="5"/>
        <v>31</v>
      </c>
      <c r="S101" s="2">
        <f t="shared" si="6"/>
        <v>418.5600000000004</v>
      </c>
      <c r="T101" s="18">
        <v>0.1</v>
      </c>
      <c r="U101">
        <f t="shared" si="7"/>
        <v>460.41600000000045</v>
      </c>
    </row>
    <row r="102" spans="1:21" x14ac:dyDescent="0.3">
      <c r="A102" t="s">
        <v>245</v>
      </c>
      <c r="B102" s="1">
        <v>44809</v>
      </c>
      <c r="C102" t="s">
        <v>246</v>
      </c>
      <c r="D102" s="3" t="s">
        <v>40</v>
      </c>
      <c r="E102" s="2">
        <v>12122</v>
      </c>
      <c r="F102" s="2">
        <v>6.9</v>
      </c>
      <c r="G102" s="4">
        <v>60</v>
      </c>
      <c r="H102" t="s">
        <v>19</v>
      </c>
      <c r="I102" t="s">
        <v>20</v>
      </c>
      <c r="J102" t="s">
        <v>37</v>
      </c>
      <c r="K102" s="2">
        <v>107241</v>
      </c>
      <c r="L102" t="s">
        <v>22</v>
      </c>
      <c r="M102" s="2">
        <v>0.18</v>
      </c>
      <c r="N102" s="2">
        <v>0.6</v>
      </c>
      <c r="O102" s="2">
        <v>12958.42</v>
      </c>
      <c r="P102" s="2">
        <v>0</v>
      </c>
      <c r="Q102">
        <f t="shared" si="4"/>
        <v>20203.333333333336</v>
      </c>
      <c r="R102">
        <f t="shared" ca="1" si="5"/>
        <v>42</v>
      </c>
      <c r="S102" s="2">
        <f t="shared" si="6"/>
        <v>836.42000000000007</v>
      </c>
      <c r="T102" s="18">
        <v>0.1</v>
      </c>
      <c r="U102">
        <f t="shared" si="7"/>
        <v>920.06200000000013</v>
      </c>
    </row>
    <row r="103" spans="1:21" x14ac:dyDescent="0.3">
      <c r="A103" t="s">
        <v>247</v>
      </c>
      <c r="B103" s="1">
        <v>44839</v>
      </c>
      <c r="C103" t="s">
        <v>248</v>
      </c>
      <c r="D103" s="3" t="s">
        <v>18</v>
      </c>
      <c r="E103" s="2">
        <v>16023</v>
      </c>
      <c r="F103" s="2">
        <v>16.5</v>
      </c>
      <c r="G103" s="4">
        <v>36</v>
      </c>
      <c r="H103" t="s">
        <v>19</v>
      </c>
      <c r="I103" t="s">
        <v>20</v>
      </c>
      <c r="J103" t="s">
        <v>28</v>
      </c>
      <c r="K103" s="2">
        <v>138944</v>
      </c>
      <c r="L103" t="s">
        <v>22</v>
      </c>
      <c r="M103" s="2">
        <v>0.28000000000000003</v>
      </c>
      <c r="N103" s="2">
        <v>0.89</v>
      </c>
      <c r="O103" s="2">
        <v>18666.8</v>
      </c>
      <c r="P103" s="2">
        <v>0</v>
      </c>
      <c r="Q103">
        <f t="shared" si="4"/>
        <v>18003.370786516854</v>
      </c>
      <c r="R103">
        <f t="shared" ca="1" si="5"/>
        <v>41</v>
      </c>
      <c r="S103" s="2">
        <f t="shared" si="6"/>
        <v>2643.7999999999993</v>
      </c>
      <c r="T103" s="18">
        <v>0.1</v>
      </c>
      <c r="U103">
        <f t="shared" si="7"/>
        <v>2908.1799999999994</v>
      </c>
    </row>
    <row r="104" spans="1:21" x14ac:dyDescent="0.3">
      <c r="A104" t="s">
        <v>249</v>
      </c>
      <c r="B104" s="1">
        <v>45225</v>
      </c>
      <c r="C104" t="s">
        <v>250</v>
      </c>
      <c r="D104" s="3" t="s">
        <v>18</v>
      </c>
      <c r="E104" s="2">
        <v>9007</v>
      </c>
      <c r="F104" s="2">
        <v>22.5</v>
      </c>
      <c r="G104" s="4">
        <v>36</v>
      </c>
      <c r="H104" t="s">
        <v>26</v>
      </c>
      <c r="I104" t="s">
        <v>27</v>
      </c>
      <c r="J104" t="s">
        <v>47</v>
      </c>
      <c r="K104" s="2">
        <v>123583</v>
      </c>
      <c r="L104" t="s">
        <v>33</v>
      </c>
      <c r="M104" s="2">
        <v>0.27</v>
      </c>
      <c r="N104" s="2">
        <v>0.54</v>
      </c>
      <c r="O104" s="2">
        <v>2983.25</v>
      </c>
      <c r="P104" s="2">
        <v>0</v>
      </c>
      <c r="Q104">
        <f t="shared" si="4"/>
        <v>16679.629629629628</v>
      </c>
      <c r="R104">
        <f t="shared" ca="1" si="5"/>
        <v>28</v>
      </c>
      <c r="S104" s="2">
        <f t="shared" si="6"/>
        <v>-6023.75</v>
      </c>
      <c r="T104" s="18">
        <v>0.1</v>
      </c>
      <c r="U104">
        <f t="shared" si="7"/>
        <v>-6626.1250000000009</v>
      </c>
    </row>
    <row r="105" spans="1:21" x14ac:dyDescent="0.3">
      <c r="A105" t="s">
        <v>251</v>
      </c>
      <c r="B105" s="1">
        <v>44699</v>
      </c>
      <c r="C105" t="s">
        <v>252</v>
      </c>
      <c r="D105" s="3" t="s">
        <v>53</v>
      </c>
      <c r="E105" s="2">
        <v>18905</v>
      </c>
      <c r="F105" s="2">
        <v>13.7</v>
      </c>
      <c r="G105" s="4">
        <v>60</v>
      </c>
      <c r="H105" t="s">
        <v>19</v>
      </c>
      <c r="I105" t="s">
        <v>20</v>
      </c>
      <c r="J105" t="s">
        <v>21</v>
      </c>
      <c r="K105" s="2">
        <v>106502</v>
      </c>
      <c r="L105" t="s">
        <v>33</v>
      </c>
      <c r="M105" s="2">
        <v>0.22</v>
      </c>
      <c r="N105" s="2">
        <v>0.72</v>
      </c>
      <c r="O105" s="2">
        <v>21494.98</v>
      </c>
      <c r="P105" s="2">
        <v>0</v>
      </c>
      <c r="Q105">
        <f t="shared" si="4"/>
        <v>26256.944444444445</v>
      </c>
      <c r="R105">
        <f t="shared" ca="1" si="5"/>
        <v>46</v>
      </c>
      <c r="S105" s="2">
        <f t="shared" si="6"/>
        <v>2589.9799999999996</v>
      </c>
      <c r="T105" s="18">
        <v>0.1</v>
      </c>
      <c r="U105">
        <f t="shared" si="7"/>
        <v>2848.9779999999996</v>
      </c>
    </row>
    <row r="106" spans="1:21" x14ac:dyDescent="0.3">
      <c r="A106" t="s">
        <v>253</v>
      </c>
      <c r="B106" s="1">
        <v>44963</v>
      </c>
      <c r="C106" t="s">
        <v>254</v>
      </c>
      <c r="D106" s="3" t="s">
        <v>76</v>
      </c>
      <c r="E106" s="2">
        <v>30398</v>
      </c>
      <c r="F106" s="2">
        <v>8.1999999999999993</v>
      </c>
      <c r="G106" s="4">
        <v>60</v>
      </c>
      <c r="H106" t="s">
        <v>19</v>
      </c>
      <c r="I106" t="s">
        <v>27</v>
      </c>
      <c r="J106" t="s">
        <v>28</v>
      </c>
      <c r="K106" s="2">
        <v>47374</v>
      </c>
      <c r="L106" t="s">
        <v>29</v>
      </c>
      <c r="M106" s="2">
        <v>0.18</v>
      </c>
      <c r="N106" s="2">
        <v>0.81</v>
      </c>
      <c r="O106" s="2">
        <v>32890.639999999999</v>
      </c>
      <c r="P106" s="2">
        <v>0</v>
      </c>
      <c r="Q106">
        <f t="shared" si="4"/>
        <v>37528.395061728392</v>
      </c>
      <c r="R106">
        <f t="shared" ca="1" si="5"/>
        <v>37</v>
      </c>
      <c r="S106" s="2">
        <f t="shared" si="6"/>
        <v>2492.6399999999994</v>
      </c>
      <c r="T106" s="18">
        <v>0.1</v>
      </c>
      <c r="U106">
        <f t="shared" si="7"/>
        <v>2741.9039999999995</v>
      </c>
    </row>
    <row r="107" spans="1:21" x14ac:dyDescent="0.3">
      <c r="A107" t="s">
        <v>255</v>
      </c>
      <c r="B107" s="1">
        <v>44594</v>
      </c>
      <c r="C107" t="s">
        <v>256</v>
      </c>
      <c r="D107" s="3" t="s">
        <v>50</v>
      </c>
      <c r="E107" s="2">
        <v>35268</v>
      </c>
      <c r="F107" s="2">
        <v>16.2</v>
      </c>
      <c r="G107" s="4">
        <v>36</v>
      </c>
      <c r="H107" t="s">
        <v>26</v>
      </c>
      <c r="I107" t="s">
        <v>20</v>
      </c>
      <c r="J107" t="s">
        <v>47</v>
      </c>
      <c r="K107" s="2">
        <v>106674</v>
      </c>
      <c r="L107" t="s">
        <v>29</v>
      </c>
      <c r="M107" s="2">
        <v>0.13</v>
      </c>
      <c r="N107" s="2">
        <v>0.62</v>
      </c>
      <c r="O107" s="2">
        <v>14139.59</v>
      </c>
      <c r="P107" s="2">
        <v>0</v>
      </c>
      <c r="Q107">
        <f t="shared" si="4"/>
        <v>56883.870967741939</v>
      </c>
      <c r="R107">
        <f t="shared" ca="1" si="5"/>
        <v>49</v>
      </c>
      <c r="S107" s="2">
        <f t="shared" si="6"/>
        <v>-21128.41</v>
      </c>
      <c r="T107" s="18">
        <v>0.1</v>
      </c>
      <c r="U107">
        <f t="shared" si="7"/>
        <v>-23241.251</v>
      </c>
    </row>
    <row r="108" spans="1:21" x14ac:dyDescent="0.3">
      <c r="A108" t="s">
        <v>257</v>
      </c>
      <c r="B108" s="1">
        <v>45067</v>
      </c>
      <c r="C108" t="s">
        <v>258</v>
      </c>
      <c r="D108" s="3" t="s">
        <v>56</v>
      </c>
      <c r="E108" s="2">
        <v>7737</v>
      </c>
      <c r="F108" s="2">
        <v>21.2</v>
      </c>
      <c r="G108" s="4">
        <v>60</v>
      </c>
      <c r="H108" t="s">
        <v>81</v>
      </c>
      <c r="I108" t="s">
        <v>57</v>
      </c>
      <c r="J108" t="s">
        <v>21</v>
      </c>
      <c r="K108" s="2">
        <v>146500</v>
      </c>
      <c r="L108" t="s">
        <v>33</v>
      </c>
      <c r="M108" s="2">
        <v>0.45</v>
      </c>
      <c r="N108" s="2">
        <v>0.78</v>
      </c>
      <c r="O108" s="2">
        <v>2593.27</v>
      </c>
      <c r="P108" s="2">
        <v>2439.15</v>
      </c>
      <c r="Q108">
        <f t="shared" si="4"/>
        <v>9919.2307692307695</v>
      </c>
      <c r="R108">
        <f t="shared" ca="1" si="5"/>
        <v>33</v>
      </c>
      <c r="S108" s="2">
        <f t="shared" si="6"/>
        <v>-2704.58</v>
      </c>
      <c r="T108" s="18">
        <v>0.1</v>
      </c>
      <c r="U108">
        <f t="shared" si="7"/>
        <v>-2975.038</v>
      </c>
    </row>
    <row r="109" spans="1:21" x14ac:dyDescent="0.3">
      <c r="A109" t="s">
        <v>259</v>
      </c>
      <c r="B109" s="1">
        <v>44991</v>
      </c>
      <c r="C109" t="s">
        <v>260</v>
      </c>
      <c r="D109" s="3" t="s">
        <v>50</v>
      </c>
      <c r="E109" s="2">
        <v>37062</v>
      </c>
      <c r="F109" s="2">
        <v>19.8</v>
      </c>
      <c r="G109" s="4">
        <v>60</v>
      </c>
      <c r="H109" t="s">
        <v>81</v>
      </c>
      <c r="I109" t="s">
        <v>20</v>
      </c>
      <c r="J109" t="s">
        <v>28</v>
      </c>
      <c r="K109" s="2">
        <v>111471</v>
      </c>
      <c r="L109" t="s">
        <v>33</v>
      </c>
      <c r="M109" s="2">
        <v>0.27</v>
      </c>
      <c r="N109" s="2">
        <v>0.87</v>
      </c>
      <c r="O109" s="2">
        <v>9479.8700000000008</v>
      </c>
      <c r="P109" s="2">
        <v>13222.79</v>
      </c>
      <c r="Q109">
        <f t="shared" si="4"/>
        <v>42600</v>
      </c>
      <c r="R109">
        <f t="shared" ca="1" si="5"/>
        <v>36</v>
      </c>
      <c r="S109" s="2">
        <f t="shared" si="6"/>
        <v>-14359.339999999997</v>
      </c>
      <c r="T109" s="18">
        <v>0.1</v>
      </c>
      <c r="U109">
        <f t="shared" si="7"/>
        <v>-15795.273999999998</v>
      </c>
    </row>
    <row r="110" spans="1:21" x14ac:dyDescent="0.3">
      <c r="A110" t="s">
        <v>261</v>
      </c>
      <c r="B110" s="1">
        <v>44589</v>
      </c>
      <c r="C110" t="s">
        <v>262</v>
      </c>
      <c r="D110" s="3" t="s">
        <v>46</v>
      </c>
      <c r="E110" s="2">
        <v>26510</v>
      </c>
      <c r="F110" s="2">
        <v>22.6</v>
      </c>
      <c r="G110" s="4">
        <v>36</v>
      </c>
      <c r="H110" t="s">
        <v>26</v>
      </c>
      <c r="I110" t="s">
        <v>20</v>
      </c>
      <c r="J110" t="s">
        <v>32</v>
      </c>
      <c r="K110" s="2">
        <v>75913</v>
      </c>
      <c r="L110" t="s">
        <v>22</v>
      </c>
      <c r="M110" s="2">
        <v>0.3</v>
      </c>
      <c r="N110" s="2">
        <v>0.59</v>
      </c>
      <c r="O110" s="2">
        <v>11560.44</v>
      </c>
      <c r="P110" s="2">
        <v>0</v>
      </c>
      <c r="Q110">
        <f t="shared" si="4"/>
        <v>44932.203389830509</v>
      </c>
      <c r="R110">
        <f t="shared" ca="1" si="5"/>
        <v>49</v>
      </c>
      <c r="S110" s="2">
        <f t="shared" si="6"/>
        <v>-14949.56</v>
      </c>
      <c r="T110" s="18">
        <v>0.1</v>
      </c>
      <c r="U110">
        <f t="shared" si="7"/>
        <v>-16444.516</v>
      </c>
    </row>
    <row r="111" spans="1:21" x14ac:dyDescent="0.3">
      <c r="A111" t="s">
        <v>263</v>
      </c>
      <c r="B111" s="1">
        <v>44403</v>
      </c>
      <c r="C111" t="s">
        <v>264</v>
      </c>
      <c r="D111" s="3" t="s">
        <v>56</v>
      </c>
      <c r="E111" s="2">
        <v>20426</v>
      </c>
      <c r="F111" s="2">
        <v>10.6</v>
      </c>
      <c r="G111" s="4">
        <v>36</v>
      </c>
      <c r="H111" t="s">
        <v>19</v>
      </c>
      <c r="I111" t="s">
        <v>73</v>
      </c>
      <c r="J111" t="s">
        <v>21</v>
      </c>
      <c r="K111" s="2">
        <v>96025</v>
      </c>
      <c r="L111" t="s">
        <v>33</v>
      </c>
      <c r="M111" s="2">
        <v>0.47</v>
      </c>
      <c r="N111" s="2">
        <v>0.91</v>
      </c>
      <c r="O111" s="2">
        <v>22591.16</v>
      </c>
      <c r="P111" s="2">
        <v>0</v>
      </c>
      <c r="Q111">
        <f t="shared" si="4"/>
        <v>22446.153846153844</v>
      </c>
      <c r="R111">
        <f t="shared" ca="1" si="5"/>
        <v>55</v>
      </c>
      <c r="S111" s="2">
        <f t="shared" si="6"/>
        <v>2165.16</v>
      </c>
      <c r="T111" s="18">
        <v>0.1</v>
      </c>
      <c r="U111">
        <f t="shared" si="7"/>
        <v>2381.6759999999999</v>
      </c>
    </row>
    <row r="112" spans="1:21" x14ac:dyDescent="0.3">
      <c r="A112" t="s">
        <v>265</v>
      </c>
      <c r="B112" s="1">
        <v>45235</v>
      </c>
      <c r="C112" t="s">
        <v>266</v>
      </c>
      <c r="D112" s="3" t="s">
        <v>18</v>
      </c>
      <c r="E112" s="2">
        <v>38265</v>
      </c>
      <c r="F112" s="2">
        <v>8.9</v>
      </c>
      <c r="G112" s="4">
        <v>60</v>
      </c>
      <c r="H112" t="s">
        <v>26</v>
      </c>
      <c r="I112" t="s">
        <v>36</v>
      </c>
      <c r="J112" t="s">
        <v>28</v>
      </c>
      <c r="K112" s="2">
        <v>74516</v>
      </c>
      <c r="L112" t="s">
        <v>29</v>
      </c>
      <c r="M112" s="2">
        <v>0.41</v>
      </c>
      <c r="N112" s="2">
        <v>0.75</v>
      </c>
      <c r="O112" s="2">
        <v>8652.49</v>
      </c>
      <c r="P112" s="2">
        <v>0</v>
      </c>
      <c r="Q112">
        <f t="shared" si="4"/>
        <v>51020</v>
      </c>
      <c r="R112">
        <f t="shared" ca="1" si="5"/>
        <v>28</v>
      </c>
      <c r="S112" s="2">
        <f t="shared" si="6"/>
        <v>-29612.510000000002</v>
      </c>
      <c r="T112" s="18">
        <v>0.1</v>
      </c>
      <c r="U112">
        <f t="shared" si="7"/>
        <v>-32573.761000000006</v>
      </c>
    </row>
    <row r="113" spans="1:21" x14ac:dyDescent="0.3">
      <c r="A113" t="s">
        <v>267</v>
      </c>
      <c r="B113" s="1">
        <v>45088</v>
      </c>
      <c r="C113" t="s">
        <v>268</v>
      </c>
      <c r="D113" s="3" t="s">
        <v>50</v>
      </c>
      <c r="E113" s="2">
        <v>18850</v>
      </c>
      <c r="F113" s="2">
        <v>22.6</v>
      </c>
      <c r="G113" s="4">
        <v>36</v>
      </c>
      <c r="H113" t="s">
        <v>26</v>
      </c>
      <c r="I113" t="s">
        <v>20</v>
      </c>
      <c r="J113" t="s">
        <v>47</v>
      </c>
      <c r="K113" s="2">
        <v>117796</v>
      </c>
      <c r="L113" t="s">
        <v>22</v>
      </c>
      <c r="M113" s="2">
        <v>0.15</v>
      </c>
      <c r="N113" s="2">
        <v>0.63</v>
      </c>
      <c r="O113" s="2">
        <v>8480.84</v>
      </c>
      <c r="P113" s="2">
        <v>0</v>
      </c>
      <c r="Q113">
        <f t="shared" si="4"/>
        <v>29920.634920634919</v>
      </c>
      <c r="R113">
        <f t="shared" ca="1" si="5"/>
        <v>33</v>
      </c>
      <c r="S113" s="2">
        <f t="shared" si="6"/>
        <v>-10369.16</v>
      </c>
      <c r="T113" s="18">
        <v>0.1</v>
      </c>
      <c r="U113">
        <f t="shared" si="7"/>
        <v>-11406.076000000001</v>
      </c>
    </row>
    <row r="114" spans="1:21" x14ac:dyDescent="0.3">
      <c r="A114" t="s">
        <v>269</v>
      </c>
      <c r="B114" s="1">
        <v>45060</v>
      </c>
      <c r="C114" t="s">
        <v>270</v>
      </c>
      <c r="D114" s="3" t="s">
        <v>72</v>
      </c>
      <c r="E114" s="2">
        <v>1614</v>
      </c>
      <c r="F114" s="2">
        <v>18.2</v>
      </c>
      <c r="G114" s="4">
        <v>36</v>
      </c>
      <c r="H114" t="s">
        <v>19</v>
      </c>
      <c r="I114" t="s">
        <v>57</v>
      </c>
      <c r="J114" t="s">
        <v>28</v>
      </c>
      <c r="K114" s="2">
        <v>56069</v>
      </c>
      <c r="L114" t="s">
        <v>29</v>
      </c>
      <c r="M114" s="2">
        <v>0.33</v>
      </c>
      <c r="N114" s="2">
        <v>0.69</v>
      </c>
      <c r="O114" s="2">
        <v>1907.75</v>
      </c>
      <c r="P114" s="2">
        <v>0</v>
      </c>
      <c r="Q114">
        <f t="shared" si="4"/>
        <v>2339.130434782609</v>
      </c>
      <c r="R114">
        <f t="shared" ca="1" si="5"/>
        <v>34</v>
      </c>
      <c r="S114" s="2">
        <f t="shared" si="6"/>
        <v>293.75</v>
      </c>
      <c r="T114" s="18">
        <v>0.1</v>
      </c>
      <c r="U114">
        <f t="shared" si="7"/>
        <v>323.125</v>
      </c>
    </row>
    <row r="115" spans="1:21" x14ac:dyDescent="0.3">
      <c r="A115" t="s">
        <v>271</v>
      </c>
      <c r="B115" s="1">
        <v>44939</v>
      </c>
      <c r="C115" t="s">
        <v>272</v>
      </c>
      <c r="D115" s="3" t="s">
        <v>76</v>
      </c>
      <c r="E115" s="2">
        <v>22776</v>
      </c>
      <c r="F115" s="2">
        <v>11.2</v>
      </c>
      <c r="G115" s="4">
        <v>60</v>
      </c>
      <c r="H115" t="s">
        <v>19</v>
      </c>
      <c r="I115" t="s">
        <v>27</v>
      </c>
      <c r="J115" t="s">
        <v>32</v>
      </c>
      <c r="K115" s="2">
        <v>148333</v>
      </c>
      <c r="L115" t="s">
        <v>29</v>
      </c>
      <c r="M115" s="2">
        <v>0.28000000000000003</v>
      </c>
      <c r="N115" s="2">
        <v>0.64</v>
      </c>
      <c r="O115" s="2">
        <v>25326.91</v>
      </c>
      <c r="P115" s="2">
        <v>0</v>
      </c>
      <c r="Q115">
        <f t="shared" si="4"/>
        <v>35587.5</v>
      </c>
      <c r="R115">
        <f t="shared" ca="1" si="5"/>
        <v>38</v>
      </c>
      <c r="S115" s="2">
        <f t="shared" si="6"/>
        <v>2550.91</v>
      </c>
      <c r="T115" s="18">
        <v>0.1</v>
      </c>
      <c r="U115">
        <f t="shared" si="7"/>
        <v>2806.0010000000002</v>
      </c>
    </row>
    <row r="116" spans="1:21" x14ac:dyDescent="0.3">
      <c r="A116" t="s">
        <v>273</v>
      </c>
      <c r="B116" s="1">
        <v>44760</v>
      </c>
      <c r="C116" t="s">
        <v>274</v>
      </c>
      <c r="D116" s="3" t="s">
        <v>50</v>
      </c>
      <c r="E116" s="2">
        <v>25077</v>
      </c>
      <c r="F116" s="2">
        <v>19.8</v>
      </c>
      <c r="G116" s="4">
        <v>36</v>
      </c>
      <c r="H116" t="s">
        <v>81</v>
      </c>
      <c r="I116" t="s">
        <v>73</v>
      </c>
      <c r="J116" t="s">
        <v>21</v>
      </c>
      <c r="K116" s="2">
        <v>86233</v>
      </c>
      <c r="L116" t="s">
        <v>22</v>
      </c>
      <c r="M116" s="2">
        <v>0.42</v>
      </c>
      <c r="N116" s="2">
        <v>0.83</v>
      </c>
      <c r="O116" s="2">
        <v>4314.95</v>
      </c>
      <c r="P116" s="2">
        <v>11970.48</v>
      </c>
      <c r="Q116">
        <f t="shared" si="4"/>
        <v>30213.253012048193</v>
      </c>
      <c r="R116">
        <f t="shared" ca="1" si="5"/>
        <v>44</v>
      </c>
      <c r="S116" s="2">
        <f t="shared" si="6"/>
        <v>-8791.57</v>
      </c>
      <c r="T116" s="18">
        <v>0.1</v>
      </c>
      <c r="U116">
        <f t="shared" si="7"/>
        <v>-9670.7270000000008</v>
      </c>
    </row>
    <row r="117" spans="1:21" x14ac:dyDescent="0.3">
      <c r="A117" t="s">
        <v>275</v>
      </c>
      <c r="B117" s="1">
        <v>45217</v>
      </c>
      <c r="C117" t="s">
        <v>276</v>
      </c>
      <c r="D117" s="3" t="s">
        <v>76</v>
      </c>
      <c r="E117" s="2">
        <v>10374</v>
      </c>
      <c r="F117" s="2">
        <v>21.3</v>
      </c>
      <c r="G117" s="4">
        <v>36</v>
      </c>
      <c r="H117" t="s">
        <v>19</v>
      </c>
      <c r="I117" t="s">
        <v>84</v>
      </c>
      <c r="J117" t="s">
        <v>21</v>
      </c>
      <c r="K117" s="2">
        <v>114811</v>
      </c>
      <c r="L117" t="s">
        <v>29</v>
      </c>
      <c r="M117" s="2">
        <v>0.39</v>
      </c>
      <c r="N117" s="2">
        <v>0.86</v>
      </c>
      <c r="O117" s="2">
        <v>12583.66</v>
      </c>
      <c r="P117" s="2">
        <v>0</v>
      </c>
      <c r="Q117">
        <f t="shared" si="4"/>
        <v>12062.790697674418</v>
      </c>
      <c r="R117">
        <f t="shared" ca="1" si="5"/>
        <v>29</v>
      </c>
      <c r="S117" s="2">
        <f t="shared" si="6"/>
        <v>2209.66</v>
      </c>
      <c r="T117" s="18">
        <v>0.1</v>
      </c>
      <c r="U117">
        <f t="shared" si="7"/>
        <v>2430.6260000000002</v>
      </c>
    </row>
    <row r="118" spans="1:21" x14ac:dyDescent="0.3">
      <c r="A118" t="s">
        <v>277</v>
      </c>
      <c r="B118" s="1">
        <v>44292</v>
      </c>
      <c r="C118" t="s">
        <v>278</v>
      </c>
      <c r="D118" s="3" t="s">
        <v>40</v>
      </c>
      <c r="E118" s="2">
        <v>36435</v>
      </c>
      <c r="F118" s="2">
        <v>17.3</v>
      </c>
      <c r="G118" s="4">
        <v>36</v>
      </c>
      <c r="H118" t="s">
        <v>19</v>
      </c>
      <c r="I118" t="s">
        <v>20</v>
      </c>
      <c r="J118" t="s">
        <v>21</v>
      </c>
      <c r="K118" s="2">
        <v>89049</v>
      </c>
      <c r="L118" t="s">
        <v>33</v>
      </c>
      <c r="M118" s="2">
        <v>0.38</v>
      </c>
      <c r="N118" s="2">
        <v>0.87</v>
      </c>
      <c r="O118" s="2">
        <v>42738.26</v>
      </c>
      <c r="P118" s="2">
        <v>0</v>
      </c>
      <c r="Q118">
        <f t="shared" si="4"/>
        <v>41879.310344827587</v>
      </c>
      <c r="R118">
        <f t="shared" ca="1" si="5"/>
        <v>59</v>
      </c>
      <c r="S118" s="2">
        <f t="shared" si="6"/>
        <v>6303.260000000002</v>
      </c>
      <c r="T118" s="18">
        <v>0.1</v>
      </c>
      <c r="U118">
        <f t="shared" si="7"/>
        <v>6933.586000000003</v>
      </c>
    </row>
    <row r="119" spans="1:21" x14ac:dyDescent="0.3">
      <c r="A119" t="s">
        <v>279</v>
      </c>
      <c r="B119" s="1">
        <v>44681</v>
      </c>
      <c r="C119" t="s">
        <v>280</v>
      </c>
      <c r="D119" s="3" t="s">
        <v>46</v>
      </c>
      <c r="E119" s="2">
        <v>31907</v>
      </c>
      <c r="F119" s="2">
        <v>18.8</v>
      </c>
      <c r="G119" s="4">
        <v>36</v>
      </c>
      <c r="H119" t="s">
        <v>19</v>
      </c>
      <c r="I119" t="s">
        <v>36</v>
      </c>
      <c r="J119" t="s">
        <v>32</v>
      </c>
      <c r="K119" s="2">
        <v>131820</v>
      </c>
      <c r="L119" t="s">
        <v>29</v>
      </c>
      <c r="M119" s="2">
        <v>0.24</v>
      </c>
      <c r="N119" s="2">
        <v>0.94</v>
      </c>
      <c r="O119" s="2">
        <v>37905.519999999997</v>
      </c>
      <c r="P119" s="2">
        <v>0</v>
      </c>
      <c r="Q119">
        <f t="shared" si="4"/>
        <v>33943.617021276601</v>
      </c>
      <c r="R119">
        <f t="shared" ca="1" si="5"/>
        <v>46</v>
      </c>
      <c r="S119" s="2">
        <f t="shared" si="6"/>
        <v>5998.5199999999968</v>
      </c>
      <c r="T119" s="18">
        <v>0.1</v>
      </c>
      <c r="U119">
        <f t="shared" si="7"/>
        <v>6598.3719999999967</v>
      </c>
    </row>
    <row r="120" spans="1:21" x14ac:dyDescent="0.3">
      <c r="A120" t="s">
        <v>281</v>
      </c>
      <c r="B120" s="1">
        <v>44427</v>
      </c>
      <c r="C120" t="s">
        <v>282</v>
      </c>
      <c r="D120" s="3" t="s">
        <v>76</v>
      </c>
      <c r="E120" s="2">
        <v>14409</v>
      </c>
      <c r="F120" s="2">
        <v>12.5</v>
      </c>
      <c r="G120" s="4">
        <v>36</v>
      </c>
      <c r="H120" t="s">
        <v>19</v>
      </c>
      <c r="I120" t="s">
        <v>57</v>
      </c>
      <c r="J120" t="s">
        <v>47</v>
      </c>
      <c r="K120" s="2">
        <v>148028</v>
      </c>
      <c r="L120" t="s">
        <v>22</v>
      </c>
      <c r="M120" s="2">
        <v>0.42</v>
      </c>
      <c r="N120" s="2">
        <v>0.86</v>
      </c>
      <c r="O120" s="2">
        <v>16210.12</v>
      </c>
      <c r="P120" s="2">
        <v>0</v>
      </c>
      <c r="Q120">
        <f t="shared" si="4"/>
        <v>16754.651162790698</v>
      </c>
      <c r="R120">
        <f t="shared" ca="1" si="5"/>
        <v>55</v>
      </c>
      <c r="S120" s="2">
        <f t="shared" si="6"/>
        <v>1801.1200000000008</v>
      </c>
      <c r="T120" s="18">
        <v>0.1</v>
      </c>
      <c r="U120">
        <f t="shared" si="7"/>
        <v>1981.2320000000011</v>
      </c>
    </row>
    <row r="121" spans="1:21" x14ac:dyDescent="0.3">
      <c r="A121" t="s">
        <v>283</v>
      </c>
      <c r="B121" s="1">
        <v>44945</v>
      </c>
      <c r="C121" t="s">
        <v>284</v>
      </c>
      <c r="D121" s="3" t="s">
        <v>40</v>
      </c>
      <c r="E121" s="2">
        <v>17514</v>
      </c>
      <c r="F121" s="2">
        <v>15.8</v>
      </c>
      <c r="G121" s="4">
        <v>60</v>
      </c>
      <c r="H121" t="s">
        <v>19</v>
      </c>
      <c r="I121" t="s">
        <v>57</v>
      </c>
      <c r="J121" t="s">
        <v>21</v>
      </c>
      <c r="K121" s="2">
        <v>69178</v>
      </c>
      <c r="L121" t="s">
        <v>22</v>
      </c>
      <c r="M121" s="2">
        <v>0.12</v>
      </c>
      <c r="N121" s="2">
        <v>0.77</v>
      </c>
      <c r="O121" s="2">
        <v>20281.21</v>
      </c>
      <c r="P121" s="2">
        <v>0</v>
      </c>
      <c r="Q121">
        <f t="shared" si="4"/>
        <v>22745.454545454544</v>
      </c>
      <c r="R121">
        <f t="shared" ca="1" si="5"/>
        <v>38</v>
      </c>
      <c r="S121" s="2">
        <f t="shared" si="6"/>
        <v>2767.2099999999991</v>
      </c>
      <c r="T121" s="18">
        <v>0.1</v>
      </c>
      <c r="U121">
        <f t="shared" si="7"/>
        <v>3043.9309999999991</v>
      </c>
    </row>
    <row r="122" spans="1:21" x14ac:dyDescent="0.3">
      <c r="A122" t="s">
        <v>285</v>
      </c>
      <c r="B122" s="1">
        <v>44737</v>
      </c>
      <c r="C122" t="s">
        <v>286</v>
      </c>
      <c r="D122" s="3" t="s">
        <v>25</v>
      </c>
      <c r="E122" s="2">
        <v>30866</v>
      </c>
      <c r="F122" s="2">
        <v>15.5</v>
      </c>
      <c r="G122" s="4">
        <v>60</v>
      </c>
      <c r="H122" t="s">
        <v>26</v>
      </c>
      <c r="I122" t="s">
        <v>84</v>
      </c>
      <c r="J122" t="s">
        <v>47</v>
      </c>
      <c r="K122" s="2">
        <v>62821</v>
      </c>
      <c r="L122" t="s">
        <v>22</v>
      </c>
      <c r="M122" s="2">
        <v>0.16</v>
      </c>
      <c r="N122" s="2">
        <v>0.65</v>
      </c>
      <c r="O122" s="2">
        <v>5435.42</v>
      </c>
      <c r="P122" s="2">
        <v>0</v>
      </c>
      <c r="Q122">
        <f t="shared" si="4"/>
        <v>47486.153846153844</v>
      </c>
      <c r="R122">
        <f t="shared" ca="1" si="5"/>
        <v>44</v>
      </c>
      <c r="S122" s="2">
        <f t="shared" si="6"/>
        <v>-25430.58</v>
      </c>
      <c r="T122" s="18">
        <v>0.1</v>
      </c>
      <c r="U122">
        <f t="shared" si="7"/>
        <v>-27973.638000000003</v>
      </c>
    </row>
    <row r="123" spans="1:21" x14ac:dyDescent="0.3">
      <c r="A123" t="s">
        <v>287</v>
      </c>
      <c r="B123" s="1">
        <v>45256</v>
      </c>
      <c r="C123" t="s">
        <v>288</v>
      </c>
      <c r="D123" s="3" t="s">
        <v>40</v>
      </c>
      <c r="E123" s="2">
        <v>3983</v>
      </c>
      <c r="F123" s="2">
        <v>22</v>
      </c>
      <c r="G123" s="4">
        <v>36</v>
      </c>
      <c r="H123" t="s">
        <v>26</v>
      </c>
      <c r="I123" t="s">
        <v>73</v>
      </c>
      <c r="J123" t="s">
        <v>28</v>
      </c>
      <c r="K123" s="2">
        <v>81727</v>
      </c>
      <c r="L123" t="s">
        <v>29</v>
      </c>
      <c r="M123" s="2">
        <v>0.23</v>
      </c>
      <c r="N123" s="2">
        <v>0.75</v>
      </c>
      <c r="O123" s="2">
        <v>294.36</v>
      </c>
      <c r="P123" s="2">
        <v>0</v>
      </c>
      <c r="Q123">
        <f t="shared" si="4"/>
        <v>5310.666666666667</v>
      </c>
      <c r="R123">
        <f t="shared" ca="1" si="5"/>
        <v>27</v>
      </c>
      <c r="S123" s="2">
        <f t="shared" si="6"/>
        <v>-3688.64</v>
      </c>
      <c r="T123" s="18">
        <v>0.1</v>
      </c>
      <c r="U123">
        <f t="shared" si="7"/>
        <v>-4057.5040000000004</v>
      </c>
    </row>
    <row r="124" spans="1:21" x14ac:dyDescent="0.3">
      <c r="A124" t="s">
        <v>289</v>
      </c>
      <c r="B124" s="1">
        <v>44721</v>
      </c>
      <c r="C124" t="s">
        <v>290</v>
      </c>
      <c r="D124" s="3" t="s">
        <v>46</v>
      </c>
      <c r="E124" s="2">
        <v>32705</v>
      </c>
      <c r="F124" s="2">
        <v>21.8</v>
      </c>
      <c r="G124" s="4">
        <v>60</v>
      </c>
      <c r="H124" t="s">
        <v>19</v>
      </c>
      <c r="I124" t="s">
        <v>73</v>
      </c>
      <c r="J124" t="s">
        <v>47</v>
      </c>
      <c r="K124" s="2">
        <v>90935</v>
      </c>
      <c r="L124" t="s">
        <v>33</v>
      </c>
      <c r="M124" s="2">
        <v>0.13</v>
      </c>
      <c r="N124" s="2">
        <v>0.52</v>
      </c>
      <c r="O124" s="2">
        <v>39834.69</v>
      </c>
      <c r="P124" s="2">
        <v>0</v>
      </c>
      <c r="Q124">
        <f t="shared" si="4"/>
        <v>62894.230769230766</v>
      </c>
      <c r="R124">
        <f t="shared" ca="1" si="5"/>
        <v>45</v>
      </c>
      <c r="S124" s="2">
        <f t="shared" si="6"/>
        <v>7129.6900000000023</v>
      </c>
      <c r="T124" s="18">
        <v>0.1</v>
      </c>
      <c r="U124">
        <f t="shared" si="7"/>
        <v>7842.6590000000033</v>
      </c>
    </row>
    <row r="125" spans="1:21" x14ac:dyDescent="0.3">
      <c r="A125" t="s">
        <v>291</v>
      </c>
      <c r="B125" s="1">
        <v>44774</v>
      </c>
      <c r="C125" t="s">
        <v>292</v>
      </c>
      <c r="D125" s="3" t="s">
        <v>53</v>
      </c>
      <c r="E125" s="2">
        <v>21662</v>
      </c>
      <c r="F125" s="2">
        <v>21.7</v>
      </c>
      <c r="G125" s="4">
        <v>36</v>
      </c>
      <c r="H125" t="s">
        <v>81</v>
      </c>
      <c r="I125" t="s">
        <v>27</v>
      </c>
      <c r="J125" t="s">
        <v>47</v>
      </c>
      <c r="K125" s="2">
        <v>46999</v>
      </c>
      <c r="L125" t="s">
        <v>22</v>
      </c>
      <c r="M125" s="2">
        <v>0.19</v>
      </c>
      <c r="N125" s="2">
        <v>0.84</v>
      </c>
      <c r="O125" s="2">
        <v>7336.37</v>
      </c>
      <c r="P125" s="2">
        <v>1820.32</v>
      </c>
      <c r="Q125">
        <f t="shared" si="4"/>
        <v>25788.09523809524</v>
      </c>
      <c r="R125">
        <f t="shared" ca="1" si="5"/>
        <v>43</v>
      </c>
      <c r="S125" s="2">
        <f t="shared" si="6"/>
        <v>-12505.31</v>
      </c>
      <c r="T125" s="18">
        <v>0.1</v>
      </c>
      <c r="U125">
        <f t="shared" si="7"/>
        <v>-13755.841</v>
      </c>
    </row>
    <row r="126" spans="1:21" x14ac:dyDescent="0.3">
      <c r="A126" t="s">
        <v>293</v>
      </c>
      <c r="B126" s="1">
        <v>44878</v>
      </c>
      <c r="C126" t="s">
        <v>294</v>
      </c>
      <c r="D126" s="3" t="s">
        <v>25</v>
      </c>
      <c r="E126" s="2">
        <v>24510</v>
      </c>
      <c r="F126" s="2">
        <v>5.2</v>
      </c>
      <c r="G126" s="4">
        <v>36</v>
      </c>
      <c r="H126" t="s">
        <v>19</v>
      </c>
      <c r="I126" t="s">
        <v>73</v>
      </c>
      <c r="J126" t="s">
        <v>21</v>
      </c>
      <c r="K126" s="2">
        <v>92522</v>
      </c>
      <c r="L126" t="s">
        <v>33</v>
      </c>
      <c r="M126" s="2">
        <v>0.43</v>
      </c>
      <c r="N126" s="2">
        <v>0.7</v>
      </c>
      <c r="O126" s="2">
        <v>25784.52</v>
      </c>
      <c r="P126" s="2">
        <v>0</v>
      </c>
      <c r="Q126">
        <f t="shared" si="4"/>
        <v>35014.285714285717</v>
      </c>
      <c r="R126">
        <f t="shared" ca="1" si="5"/>
        <v>40</v>
      </c>
      <c r="S126" s="2">
        <f t="shared" si="6"/>
        <v>1274.5200000000004</v>
      </c>
      <c r="T126" s="18">
        <v>0.1</v>
      </c>
      <c r="U126">
        <f t="shared" si="7"/>
        <v>1401.9720000000007</v>
      </c>
    </row>
    <row r="127" spans="1:21" x14ac:dyDescent="0.3">
      <c r="A127" t="s">
        <v>295</v>
      </c>
      <c r="B127" s="1">
        <v>44753</v>
      </c>
      <c r="C127" t="s">
        <v>296</v>
      </c>
      <c r="D127" s="3" t="s">
        <v>18</v>
      </c>
      <c r="E127" s="2">
        <v>13651</v>
      </c>
      <c r="F127" s="2">
        <v>20</v>
      </c>
      <c r="G127" s="4">
        <v>36</v>
      </c>
      <c r="H127" t="s">
        <v>19</v>
      </c>
      <c r="I127" t="s">
        <v>20</v>
      </c>
      <c r="J127" t="s">
        <v>37</v>
      </c>
      <c r="K127" s="2">
        <v>68712</v>
      </c>
      <c r="L127" t="s">
        <v>22</v>
      </c>
      <c r="M127" s="2">
        <v>0.48</v>
      </c>
      <c r="N127" s="2">
        <v>0.51</v>
      </c>
      <c r="O127" s="2">
        <v>16381.2</v>
      </c>
      <c r="P127" s="2">
        <v>0</v>
      </c>
      <c r="Q127">
        <f t="shared" si="4"/>
        <v>26766.666666666668</v>
      </c>
      <c r="R127">
        <f t="shared" ca="1" si="5"/>
        <v>44</v>
      </c>
      <c r="S127" s="2">
        <f t="shared" si="6"/>
        <v>2730.2000000000007</v>
      </c>
      <c r="T127" s="18">
        <v>0.1</v>
      </c>
      <c r="U127">
        <f t="shared" si="7"/>
        <v>3003.2200000000012</v>
      </c>
    </row>
    <row r="128" spans="1:21" x14ac:dyDescent="0.3">
      <c r="A128" t="s">
        <v>297</v>
      </c>
      <c r="B128" s="1">
        <v>45209</v>
      </c>
      <c r="C128" t="s">
        <v>298</v>
      </c>
      <c r="D128" s="3" t="s">
        <v>65</v>
      </c>
      <c r="E128" s="2">
        <v>29535</v>
      </c>
      <c r="F128" s="2">
        <v>20.2</v>
      </c>
      <c r="G128" s="4">
        <v>36</v>
      </c>
      <c r="H128" t="s">
        <v>26</v>
      </c>
      <c r="I128" t="s">
        <v>27</v>
      </c>
      <c r="J128" t="s">
        <v>37</v>
      </c>
      <c r="K128" s="2">
        <v>94551</v>
      </c>
      <c r="L128" t="s">
        <v>33</v>
      </c>
      <c r="M128" s="2">
        <v>0.22</v>
      </c>
      <c r="N128" s="2">
        <v>0.53</v>
      </c>
      <c r="O128" s="2">
        <v>7019.73</v>
      </c>
      <c r="P128" s="2">
        <v>0</v>
      </c>
      <c r="Q128">
        <f t="shared" si="4"/>
        <v>55726.415094339623</v>
      </c>
      <c r="R128">
        <f t="shared" ca="1" si="5"/>
        <v>29</v>
      </c>
      <c r="S128" s="2">
        <f t="shared" si="6"/>
        <v>-22515.27</v>
      </c>
      <c r="T128" s="18">
        <v>0.1</v>
      </c>
      <c r="U128">
        <f t="shared" si="7"/>
        <v>-24766.797000000002</v>
      </c>
    </row>
    <row r="129" spans="1:21" x14ac:dyDescent="0.3">
      <c r="A129" t="s">
        <v>299</v>
      </c>
      <c r="B129" s="1">
        <v>44842</v>
      </c>
      <c r="C129" t="s">
        <v>300</v>
      </c>
      <c r="D129" s="3" t="s">
        <v>40</v>
      </c>
      <c r="E129" s="2">
        <v>7640</v>
      </c>
      <c r="F129" s="2">
        <v>18.600000000000001</v>
      </c>
      <c r="G129" s="4">
        <v>36</v>
      </c>
      <c r="H129" t="s">
        <v>26</v>
      </c>
      <c r="I129" t="s">
        <v>20</v>
      </c>
      <c r="J129" t="s">
        <v>32</v>
      </c>
      <c r="K129" s="2">
        <v>70172</v>
      </c>
      <c r="L129" t="s">
        <v>33</v>
      </c>
      <c r="M129" s="2">
        <v>0.21</v>
      </c>
      <c r="N129" s="2">
        <v>0.67</v>
      </c>
      <c r="O129" s="2">
        <v>1169.7</v>
      </c>
      <c r="P129" s="2">
        <v>0</v>
      </c>
      <c r="Q129">
        <f t="shared" si="4"/>
        <v>11402.985074626866</v>
      </c>
      <c r="R129">
        <f t="shared" ca="1" si="5"/>
        <v>41</v>
      </c>
      <c r="S129" s="2">
        <f t="shared" si="6"/>
        <v>-6470.3</v>
      </c>
      <c r="T129" s="18">
        <v>0.1</v>
      </c>
      <c r="U129">
        <f t="shared" si="7"/>
        <v>-7117.3300000000008</v>
      </c>
    </row>
    <row r="130" spans="1:21" x14ac:dyDescent="0.3">
      <c r="A130" t="s">
        <v>301</v>
      </c>
      <c r="B130" s="1">
        <v>44992</v>
      </c>
      <c r="C130" t="s">
        <v>302</v>
      </c>
      <c r="D130" s="3" t="s">
        <v>40</v>
      </c>
      <c r="E130" s="2">
        <v>16317</v>
      </c>
      <c r="F130" s="2">
        <v>20.100000000000001</v>
      </c>
      <c r="G130" s="4">
        <v>60</v>
      </c>
      <c r="H130" t="s">
        <v>26</v>
      </c>
      <c r="I130" t="s">
        <v>84</v>
      </c>
      <c r="J130" t="s">
        <v>32</v>
      </c>
      <c r="K130" s="2">
        <v>63722</v>
      </c>
      <c r="L130" t="s">
        <v>33</v>
      </c>
      <c r="M130" s="2">
        <v>0.21</v>
      </c>
      <c r="N130" s="2">
        <v>0.76</v>
      </c>
      <c r="O130" s="2">
        <v>2517.8000000000002</v>
      </c>
      <c r="P130" s="2">
        <v>0</v>
      </c>
      <c r="Q130">
        <f t="shared" si="4"/>
        <v>21469.736842105263</v>
      </c>
      <c r="R130">
        <f t="shared" ca="1" si="5"/>
        <v>36</v>
      </c>
      <c r="S130" s="2">
        <f t="shared" si="6"/>
        <v>-13799.2</v>
      </c>
      <c r="T130" s="18">
        <v>0.1</v>
      </c>
      <c r="U130">
        <f t="shared" si="7"/>
        <v>-15179.120000000003</v>
      </c>
    </row>
    <row r="131" spans="1:21" x14ac:dyDescent="0.3">
      <c r="A131" t="s">
        <v>303</v>
      </c>
      <c r="B131" s="1">
        <v>45248</v>
      </c>
      <c r="C131" t="s">
        <v>304</v>
      </c>
      <c r="D131" s="3" t="s">
        <v>76</v>
      </c>
      <c r="E131" s="2">
        <v>8564</v>
      </c>
      <c r="F131" s="2">
        <v>21.8</v>
      </c>
      <c r="G131" s="4">
        <v>60</v>
      </c>
      <c r="H131" t="s">
        <v>81</v>
      </c>
      <c r="I131" t="s">
        <v>41</v>
      </c>
      <c r="J131" t="s">
        <v>37</v>
      </c>
      <c r="K131" s="2">
        <v>40625</v>
      </c>
      <c r="L131" t="s">
        <v>22</v>
      </c>
      <c r="M131" s="2">
        <v>0.21</v>
      </c>
      <c r="N131" s="2">
        <v>0.71</v>
      </c>
      <c r="O131" s="2">
        <v>3172.28</v>
      </c>
      <c r="P131" s="2">
        <v>2148.21</v>
      </c>
      <c r="Q131">
        <f t="shared" ref="Q131:Q194" si="8">E131/N131</f>
        <v>12061.971830985916</v>
      </c>
      <c r="R131">
        <f t="shared" ref="R131:R194" ca="1" si="9">DATEDIF(B131, TODAY(), "M")</f>
        <v>28</v>
      </c>
      <c r="S131" s="2">
        <f t="shared" ref="S131:S194" si="10">(O131+P131)-E131</f>
        <v>-3243.51</v>
      </c>
      <c r="T131" s="18">
        <v>0.1</v>
      </c>
      <c r="U131">
        <f t="shared" ref="U131:U194" si="11">S131*(1+T131)</f>
        <v>-3567.8610000000003</v>
      </c>
    </row>
    <row r="132" spans="1:21" x14ac:dyDescent="0.3">
      <c r="A132" t="s">
        <v>305</v>
      </c>
      <c r="B132" s="1">
        <v>44386</v>
      </c>
      <c r="C132" t="s">
        <v>306</v>
      </c>
      <c r="D132" s="3" t="s">
        <v>18</v>
      </c>
      <c r="E132" s="2">
        <v>28345</v>
      </c>
      <c r="F132" s="2">
        <v>14.4</v>
      </c>
      <c r="G132" s="4">
        <v>36</v>
      </c>
      <c r="H132" t="s">
        <v>26</v>
      </c>
      <c r="I132" t="s">
        <v>57</v>
      </c>
      <c r="J132" t="s">
        <v>28</v>
      </c>
      <c r="K132" s="2">
        <v>97165</v>
      </c>
      <c r="L132" t="s">
        <v>29</v>
      </c>
      <c r="M132" s="2">
        <v>0.11</v>
      </c>
      <c r="N132" s="2">
        <v>0.78</v>
      </c>
      <c r="O132" s="2">
        <v>12054.06</v>
      </c>
      <c r="P132" s="2">
        <v>0</v>
      </c>
      <c r="Q132">
        <f t="shared" si="8"/>
        <v>36339.743589743586</v>
      </c>
      <c r="R132">
        <f t="shared" ca="1" si="9"/>
        <v>56</v>
      </c>
      <c r="S132" s="2">
        <f t="shared" si="10"/>
        <v>-16290.94</v>
      </c>
      <c r="T132" s="18">
        <v>0.1</v>
      </c>
      <c r="U132">
        <f t="shared" si="11"/>
        <v>-17920.034000000003</v>
      </c>
    </row>
    <row r="133" spans="1:21" x14ac:dyDescent="0.3">
      <c r="A133" t="s">
        <v>307</v>
      </c>
      <c r="B133" s="1">
        <v>44829</v>
      </c>
      <c r="C133" t="s">
        <v>308</v>
      </c>
      <c r="D133" s="3" t="s">
        <v>50</v>
      </c>
      <c r="E133" s="2">
        <v>29687</v>
      </c>
      <c r="F133" s="2">
        <v>15</v>
      </c>
      <c r="G133" s="4">
        <v>60</v>
      </c>
      <c r="H133" t="s">
        <v>81</v>
      </c>
      <c r="I133" t="s">
        <v>57</v>
      </c>
      <c r="J133" t="s">
        <v>21</v>
      </c>
      <c r="K133" s="2">
        <v>106509</v>
      </c>
      <c r="L133" t="s">
        <v>29</v>
      </c>
      <c r="M133" s="2">
        <v>0.47</v>
      </c>
      <c r="N133" s="2">
        <v>0.72</v>
      </c>
      <c r="O133" s="2">
        <v>7898.5</v>
      </c>
      <c r="P133" s="2">
        <v>6839.85</v>
      </c>
      <c r="Q133">
        <f t="shared" si="8"/>
        <v>41231.944444444445</v>
      </c>
      <c r="R133">
        <f t="shared" ca="1" si="9"/>
        <v>41</v>
      </c>
      <c r="S133" s="2">
        <f t="shared" si="10"/>
        <v>-14948.65</v>
      </c>
      <c r="T133" s="18">
        <v>0.1</v>
      </c>
      <c r="U133">
        <f t="shared" si="11"/>
        <v>-16443.514999999999</v>
      </c>
    </row>
    <row r="134" spans="1:21" x14ac:dyDescent="0.3">
      <c r="A134" t="s">
        <v>309</v>
      </c>
      <c r="B134" s="1">
        <v>44824</v>
      </c>
      <c r="C134" t="s">
        <v>310</v>
      </c>
      <c r="D134" s="3" t="s">
        <v>72</v>
      </c>
      <c r="E134" s="2">
        <v>14737</v>
      </c>
      <c r="F134" s="2">
        <v>7.5</v>
      </c>
      <c r="G134" s="4">
        <v>36</v>
      </c>
      <c r="H134" t="s">
        <v>19</v>
      </c>
      <c r="I134" t="s">
        <v>20</v>
      </c>
      <c r="J134" t="s">
        <v>21</v>
      </c>
      <c r="K134" s="2">
        <v>36859</v>
      </c>
      <c r="L134" t="s">
        <v>29</v>
      </c>
      <c r="M134" s="2">
        <v>0.19</v>
      </c>
      <c r="N134" s="2">
        <v>0.8</v>
      </c>
      <c r="O134" s="2">
        <v>15842.28</v>
      </c>
      <c r="P134" s="2">
        <v>0</v>
      </c>
      <c r="Q134">
        <f t="shared" si="8"/>
        <v>18421.25</v>
      </c>
      <c r="R134">
        <f t="shared" ca="1" si="9"/>
        <v>41</v>
      </c>
      <c r="S134" s="2">
        <f t="shared" si="10"/>
        <v>1105.2800000000007</v>
      </c>
      <c r="T134" s="18">
        <v>0.1</v>
      </c>
      <c r="U134">
        <f t="shared" si="11"/>
        <v>1215.8080000000009</v>
      </c>
    </row>
    <row r="135" spans="1:21" x14ac:dyDescent="0.3">
      <c r="A135" t="s">
        <v>311</v>
      </c>
      <c r="B135" s="1">
        <v>45169</v>
      </c>
      <c r="C135" t="s">
        <v>312</v>
      </c>
      <c r="D135" s="3" t="s">
        <v>56</v>
      </c>
      <c r="E135" s="2">
        <v>10323</v>
      </c>
      <c r="F135" s="2">
        <v>12.7</v>
      </c>
      <c r="G135" s="4">
        <v>60</v>
      </c>
      <c r="H135" t="s">
        <v>26</v>
      </c>
      <c r="I135" t="s">
        <v>20</v>
      </c>
      <c r="J135" t="s">
        <v>28</v>
      </c>
      <c r="K135" s="2">
        <v>71609</v>
      </c>
      <c r="L135" t="s">
        <v>33</v>
      </c>
      <c r="M135" s="2">
        <v>0.27</v>
      </c>
      <c r="N135" s="2">
        <v>0.6</v>
      </c>
      <c r="O135" s="2">
        <v>3378.2</v>
      </c>
      <c r="P135" s="2">
        <v>0</v>
      </c>
      <c r="Q135">
        <f t="shared" si="8"/>
        <v>17205</v>
      </c>
      <c r="R135">
        <f t="shared" ca="1" si="9"/>
        <v>30</v>
      </c>
      <c r="S135" s="2">
        <f t="shared" si="10"/>
        <v>-6944.8</v>
      </c>
      <c r="T135" s="18">
        <v>0.1</v>
      </c>
      <c r="U135">
        <f t="shared" si="11"/>
        <v>-7639.2800000000007</v>
      </c>
    </row>
    <row r="136" spans="1:21" x14ac:dyDescent="0.3">
      <c r="A136" t="s">
        <v>313</v>
      </c>
      <c r="B136" s="1">
        <v>44906</v>
      </c>
      <c r="C136" t="s">
        <v>314</v>
      </c>
      <c r="D136" s="3" t="s">
        <v>40</v>
      </c>
      <c r="E136" s="2">
        <v>16229</v>
      </c>
      <c r="F136" s="2">
        <v>17.899999999999999</v>
      </c>
      <c r="G136" s="4">
        <v>36</v>
      </c>
      <c r="H136" t="s">
        <v>315</v>
      </c>
      <c r="I136" t="s">
        <v>36</v>
      </c>
      <c r="J136" t="s">
        <v>28</v>
      </c>
      <c r="K136" s="2">
        <v>73307</v>
      </c>
      <c r="L136" t="s">
        <v>22</v>
      </c>
      <c r="M136" s="2">
        <v>0.1</v>
      </c>
      <c r="N136" s="2">
        <v>0.55000000000000004</v>
      </c>
      <c r="O136" s="2">
        <v>0</v>
      </c>
      <c r="P136" s="2">
        <v>0</v>
      </c>
      <c r="Q136">
        <f t="shared" si="8"/>
        <v>29507.272727272724</v>
      </c>
      <c r="R136">
        <f t="shared" ca="1" si="9"/>
        <v>39</v>
      </c>
      <c r="S136" s="2">
        <f t="shared" si="10"/>
        <v>-16229</v>
      </c>
      <c r="T136" s="18">
        <v>0.1</v>
      </c>
      <c r="U136">
        <f t="shared" si="11"/>
        <v>-17851.900000000001</v>
      </c>
    </row>
    <row r="137" spans="1:21" x14ac:dyDescent="0.3">
      <c r="A137" t="s">
        <v>316</v>
      </c>
      <c r="B137" s="1">
        <v>44845</v>
      </c>
      <c r="C137" t="s">
        <v>317</v>
      </c>
      <c r="D137" s="3" t="s">
        <v>50</v>
      </c>
      <c r="E137" s="2">
        <v>9502</v>
      </c>
      <c r="F137" s="2">
        <v>20.6</v>
      </c>
      <c r="G137" s="4">
        <v>60</v>
      </c>
      <c r="H137" t="s">
        <v>26</v>
      </c>
      <c r="I137" t="s">
        <v>20</v>
      </c>
      <c r="J137" t="s">
        <v>37</v>
      </c>
      <c r="K137" s="2">
        <v>140986</v>
      </c>
      <c r="L137" t="s">
        <v>33</v>
      </c>
      <c r="M137" s="2">
        <v>0.44</v>
      </c>
      <c r="N137" s="2">
        <v>0.77</v>
      </c>
      <c r="O137" s="2">
        <v>2503.27</v>
      </c>
      <c r="P137" s="2">
        <v>0</v>
      </c>
      <c r="Q137">
        <f t="shared" si="8"/>
        <v>12340.25974025974</v>
      </c>
      <c r="R137">
        <f t="shared" ca="1" si="9"/>
        <v>41</v>
      </c>
      <c r="S137" s="2">
        <f t="shared" si="10"/>
        <v>-6998.73</v>
      </c>
      <c r="T137" s="18">
        <v>0.1</v>
      </c>
      <c r="U137">
        <f t="shared" si="11"/>
        <v>-7698.6030000000001</v>
      </c>
    </row>
    <row r="138" spans="1:21" x14ac:dyDescent="0.3">
      <c r="A138" t="s">
        <v>318</v>
      </c>
      <c r="B138" s="1">
        <v>44514</v>
      </c>
      <c r="C138" t="s">
        <v>319</v>
      </c>
      <c r="D138" s="3" t="s">
        <v>72</v>
      </c>
      <c r="E138" s="2">
        <v>1545</v>
      </c>
      <c r="F138" s="2">
        <v>9.3000000000000007</v>
      </c>
      <c r="G138" s="4">
        <v>36</v>
      </c>
      <c r="H138" t="s">
        <v>19</v>
      </c>
      <c r="I138" t="s">
        <v>57</v>
      </c>
      <c r="J138" t="s">
        <v>32</v>
      </c>
      <c r="K138" s="2">
        <v>131582</v>
      </c>
      <c r="L138" t="s">
        <v>22</v>
      </c>
      <c r="M138" s="2">
        <v>0.39</v>
      </c>
      <c r="N138" s="2">
        <v>0.72</v>
      </c>
      <c r="O138" s="2">
        <v>1688.68</v>
      </c>
      <c r="P138" s="2">
        <v>0</v>
      </c>
      <c r="Q138">
        <f t="shared" si="8"/>
        <v>2145.8333333333335</v>
      </c>
      <c r="R138">
        <f t="shared" ca="1" si="9"/>
        <v>52</v>
      </c>
      <c r="S138" s="2">
        <f t="shared" si="10"/>
        <v>143.68000000000006</v>
      </c>
      <c r="T138" s="18">
        <v>0.1</v>
      </c>
      <c r="U138">
        <f t="shared" si="11"/>
        <v>158.04800000000009</v>
      </c>
    </row>
    <row r="139" spans="1:21" x14ac:dyDescent="0.3">
      <c r="A139" t="s">
        <v>320</v>
      </c>
      <c r="B139" s="1">
        <v>44880</v>
      </c>
      <c r="C139" t="s">
        <v>321</v>
      </c>
      <c r="D139" s="3" t="s">
        <v>56</v>
      </c>
      <c r="E139" s="2">
        <v>38114</v>
      </c>
      <c r="F139" s="2">
        <v>7.8</v>
      </c>
      <c r="G139" s="4">
        <v>36</v>
      </c>
      <c r="H139" t="s">
        <v>19</v>
      </c>
      <c r="I139" t="s">
        <v>84</v>
      </c>
      <c r="J139" t="s">
        <v>28</v>
      </c>
      <c r="K139" s="2">
        <v>51839</v>
      </c>
      <c r="L139" t="s">
        <v>33</v>
      </c>
      <c r="M139" s="2">
        <v>0.48</v>
      </c>
      <c r="N139" s="2">
        <v>0.51</v>
      </c>
      <c r="O139" s="2">
        <v>41086.89</v>
      </c>
      <c r="P139" s="2">
        <v>0</v>
      </c>
      <c r="Q139">
        <f t="shared" si="8"/>
        <v>74733.333333333328</v>
      </c>
      <c r="R139">
        <f t="shared" ca="1" si="9"/>
        <v>40</v>
      </c>
      <c r="S139" s="2">
        <f t="shared" si="10"/>
        <v>2972.8899999999994</v>
      </c>
      <c r="T139" s="18">
        <v>0.1</v>
      </c>
      <c r="U139">
        <f t="shared" si="11"/>
        <v>3270.1789999999996</v>
      </c>
    </row>
    <row r="140" spans="1:21" x14ac:dyDescent="0.3">
      <c r="A140" t="s">
        <v>322</v>
      </c>
      <c r="B140" s="1">
        <v>44860</v>
      </c>
      <c r="C140" t="s">
        <v>323</v>
      </c>
      <c r="D140" s="3" t="s">
        <v>65</v>
      </c>
      <c r="E140" s="2">
        <v>30430</v>
      </c>
      <c r="F140" s="2">
        <v>18.3</v>
      </c>
      <c r="G140" s="4">
        <v>60</v>
      </c>
      <c r="H140" t="s">
        <v>26</v>
      </c>
      <c r="I140" t="s">
        <v>36</v>
      </c>
      <c r="J140" t="s">
        <v>32</v>
      </c>
      <c r="K140" s="2">
        <v>57216</v>
      </c>
      <c r="L140" t="s">
        <v>22</v>
      </c>
      <c r="M140" s="2">
        <v>0.41</v>
      </c>
      <c r="N140" s="2">
        <v>0.67</v>
      </c>
      <c r="O140" s="2">
        <v>6884.79</v>
      </c>
      <c r="P140" s="2">
        <v>0</v>
      </c>
      <c r="Q140">
        <f t="shared" si="8"/>
        <v>45417.910447761191</v>
      </c>
      <c r="R140">
        <f t="shared" ca="1" si="9"/>
        <v>40</v>
      </c>
      <c r="S140" s="2">
        <f t="shared" si="10"/>
        <v>-23545.21</v>
      </c>
      <c r="T140" s="18">
        <v>0.1</v>
      </c>
      <c r="U140">
        <f t="shared" si="11"/>
        <v>-25899.731</v>
      </c>
    </row>
    <row r="141" spans="1:21" x14ac:dyDescent="0.3">
      <c r="A141" t="s">
        <v>324</v>
      </c>
      <c r="B141" s="1">
        <v>44638</v>
      </c>
      <c r="C141" t="s">
        <v>325</v>
      </c>
      <c r="D141" s="3" t="s">
        <v>76</v>
      </c>
      <c r="E141" s="2">
        <v>10996</v>
      </c>
      <c r="F141" s="2">
        <v>5</v>
      </c>
      <c r="G141" s="4">
        <v>60</v>
      </c>
      <c r="H141" t="s">
        <v>19</v>
      </c>
      <c r="I141" t="s">
        <v>73</v>
      </c>
      <c r="J141" t="s">
        <v>47</v>
      </c>
      <c r="K141" s="2">
        <v>82953</v>
      </c>
      <c r="L141" t="s">
        <v>22</v>
      </c>
      <c r="M141" s="2">
        <v>0.23</v>
      </c>
      <c r="N141" s="2">
        <v>0.55000000000000004</v>
      </c>
      <c r="O141" s="2">
        <v>11545.8</v>
      </c>
      <c r="P141" s="2">
        <v>0</v>
      </c>
      <c r="Q141">
        <f t="shared" si="8"/>
        <v>19992.727272727272</v>
      </c>
      <c r="R141">
        <f t="shared" ca="1" si="9"/>
        <v>48</v>
      </c>
      <c r="S141" s="2">
        <f t="shared" si="10"/>
        <v>549.79999999999927</v>
      </c>
      <c r="T141" s="18">
        <v>0.1</v>
      </c>
      <c r="U141">
        <f t="shared" si="11"/>
        <v>604.77999999999929</v>
      </c>
    </row>
    <row r="142" spans="1:21" x14ac:dyDescent="0.3">
      <c r="A142" t="s">
        <v>326</v>
      </c>
      <c r="B142" s="1">
        <v>44760</v>
      </c>
      <c r="C142" t="s">
        <v>327</v>
      </c>
      <c r="D142" s="3" t="s">
        <v>50</v>
      </c>
      <c r="E142" s="2">
        <v>28788</v>
      </c>
      <c r="F142" s="2">
        <v>8.6</v>
      </c>
      <c r="G142" s="4">
        <v>36</v>
      </c>
      <c r="H142" t="s">
        <v>60</v>
      </c>
      <c r="I142" t="s">
        <v>73</v>
      </c>
      <c r="J142" t="s">
        <v>21</v>
      </c>
      <c r="K142" s="2">
        <v>114481</v>
      </c>
      <c r="L142" t="s">
        <v>22</v>
      </c>
      <c r="M142" s="2">
        <v>0.2</v>
      </c>
      <c r="N142" s="2">
        <v>0.74</v>
      </c>
      <c r="O142" s="2">
        <v>0</v>
      </c>
      <c r="P142" s="2">
        <v>0</v>
      </c>
      <c r="Q142">
        <f t="shared" si="8"/>
        <v>38902.7027027027</v>
      </c>
      <c r="R142">
        <f t="shared" ca="1" si="9"/>
        <v>44</v>
      </c>
      <c r="S142" s="2">
        <f t="shared" si="10"/>
        <v>-28788</v>
      </c>
      <c r="T142" s="18">
        <v>0.1</v>
      </c>
      <c r="U142">
        <f t="shared" si="11"/>
        <v>-31666.800000000003</v>
      </c>
    </row>
    <row r="143" spans="1:21" x14ac:dyDescent="0.3">
      <c r="A143" t="s">
        <v>328</v>
      </c>
      <c r="B143" s="1">
        <v>45148</v>
      </c>
      <c r="C143" t="s">
        <v>329</v>
      </c>
      <c r="D143" s="3" t="s">
        <v>76</v>
      </c>
      <c r="E143" s="2">
        <v>30969</v>
      </c>
      <c r="F143" s="2">
        <v>5.6</v>
      </c>
      <c r="G143" s="4">
        <v>60</v>
      </c>
      <c r="H143" t="s">
        <v>19</v>
      </c>
      <c r="I143" t="s">
        <v>27</v>
      </c>
      <c r="J143" t="s">
        <v>37</v>
      </c>
      <c r="K143" s="2">
        <v>90593</v>
      </c>
      <c r="L143" t="s">
        <v>33</v>
      </c>
      <c r="M143" s="2">
        <v>0.38</v>
      </c>
      <c r="N143" s="2">
        <v>0.68</v>
      </c>
      <c r="O143" s="2">
        <v>32703.26</v>
      </c>
      <c r="P143" s="2">
        <v>0</v>
      </c>
      <c r="Q143">
        <f t="shared" si="8"/>
        <v>45542.647058823524</v>
      </c>
      <c r="R143">
        <f t="shared" ca="1" si="9"/>
        <v>31</v>
      </c>
      <c r="S143" s="2">
        <f t="shared" si="10"/>
        <v>1734.2599999999984</v>
      </c>
      <c r="T143" s="18">
        <v>0.1</v>
      </c>
      <c r="U143">
        <f t="shared" si="11"/>
        <v>1907.6859999999983</v>
      </c>
    </row>
    <row r="144" spans="1:21" x14ac:dyDescent="0.3">
      <c r="A144" t="s">
        <v>330</v>
      </c>
      <c r="B144" s="1">
        <v>44895</v>
      </c>
      <c r="C144" t="s">
        <v>331</v>
      </c>
      <c r="D144" s="3" t="s">
        <v>56</v>
      </c>
      <c r="E144" s="2">
        <v>14919</v>
      </c>
      <c r="F144" s="2">
        <v>8.3000000000000007</v>
      </c>
      <c r="G144" s="4">
        <v>36</v>
      </c>
      <c r="H144" t="s">
        <v>19</v>
      </c>
      <c r="I144" t="s">
        <v>41</v>
      </c>
      <c r="J144" t="s">
        <v>21</v>
      </c>
      <c r="K144" s="2">
        <v>102075</v>
      </c>
      <c r="L144" t="s">
        <v>29</v>
      </c>
      <c r="M144" s="2">
        <v>0.25</v>
      </c>
      <c r="N144" s="2">
        <v>0.78</v>
      </c>
      <c r="O144" s="2">
        <v>16157.28</v>
      </c>
      <c r="P144" s="2">
        <v>0</v>
      </c>
      <c r="Q144">
        <f t="shared" si="8"/>
        <v>19126.923076923078</v>
      </c>
      <c r="R144">
        <f t="shared" ca="1" si="9"/>
        <v>39</v>
      </c>
      <c r="S144" s="2">
        <f t="shared" si="10"/>
        <v>1238.2800000000007</v>
      </c>
      <c r="T144" s="18">
        <v>0.1</v>
      </c>
      <c r="U144">
        <f t="shared" si="11"/>
        <v>1362.1080000000009</v>
      </c>
    </row>
    <row r="145" spans="1:21" x14ac:dyDescent="0.3">
      <c r="A145" t="s">
        <v>332</v>
      </c>
      <c r="B145" s="1">
        <v>44309</v>
      </c>
      <c r="C145" t="s">
        <v>333</v>
      </c>
      <c r="D145" s="3" t="s">
        <v>53</v>
      </c>
      <c r="E145" s="2">
        <v>4810</v>
      </c>
      <c r="F145" s="2">
        <v>8.6</v>
      </c>
      <c r="G145" s="4">
        <v>60</v>
      </c>
      <c r="H145" t="s">
        <v>81</v>
      </c>
      <c r="I145" t="s">
        <v>73</v>
      </c>
      <c r="J145" t="s">
        <v>37</v>
      </c>
      <c r="K145" s="2">
        <v>79522</v>
      </c>
      <c r="L145" t="s">
        <v>33</v>
      </c>
      <c r="M145" s="2">
        <v>0.33</v>
      </c>
      <c r="N145" s="2">
        <v>0.86</v>
      </c>
      <c r="O145" s="2">
        <v>1802.03</v>
      </c>
      <c r="P145" s="2">
        <v>798.06</v>
      </c>
      <c r="Q145">
        <f t="shared" si="8"/>
        <v>5593.0232558139533</v>
      </c>
      <c r="R145">
        <f t="shared" ca="1" si="9"/>
        <v>58</v>
      </c>
      <c r="S145" s="2">
        <f t="shared" si="10"/>
        <v>-2209.91</v>
      </c>
      <c r="T145" s="18">
        <v>0.1</v>
      </c>
      <c r="U145">
        <f t="shared" si="11"/>
        <v>-2430.9009999999998</v>
      </c>
    </row>
    <row r="146" spans="1:21" x14ac:dyDescent="0.3">
      <c r="A146" t="s">
        <v>334</v>
      </c>
      <c r="B146" s="1">
        <v>44198</v>
      </c>
      <c r="C146" t="s">
        <v>335</v>
      </c>
      <c r="D146" s="3" t="s">
        <v>40</v>
      </c>
      <c r="E146" s="2">
        <v>31586</v>
      </c>
      <c r="F146" s="2">
        <v>12.8</v>
      </c>
      <c r="G146" s="4">
        <v>60</v>
      </c>
      <c r="H146" t="s">
        <v>19</v>
      </c>
      <c r="I146" t="s">
        <v>73</v>
      </c>
      <c r="J146" t="s">
        <v>47</v>
      </c>
      <c r="K146" s="2">
        <v>129161</v>
      </c>
      <c r="L146" t="s">
        <v>33</v>
      </c>
      <c r="M146" s="2">
        <v>0.1</v>
      </c>
      <c r="N146" s="2">
        <v>0.63</v>
      </c>
      <c r="O146" s="2">
        <v>35629.01</v>
      </c>
      <c r="P146" s="2">
        <v>0</v>
      </c>
      <c r="Q146">
        <f t="shared" si="8"/>
        <v>50136.507936507936</v>
      </c>
      <c r="R146">
        <f t="shared" ca="1" si="9"/>
        <v>62</v>
      </c>
      <c r="S146" s="2">
        <f t="shared" si="10"/>
        <v>4043.010000000002</v>
      </c>
      <c r="T146" s="18">
        <v>0.1</v>
      </c>
      <c r="U146">
        <f t="shared" si="11"/>
        <v>4447.3110000000024</v>
      </c>
    </row>
    <row r="147" spans="1:21" x14ac:dyDescent="0.3">
      <c r="A147" t="s">
        <v>336</v>
      </c>
      <c r="B147" s="1">
        <v>44838</v>
      </c>
      <c r="C147" t="s">
        <v>337</v>
      </c>
      <c r="D147" s="3" t="s">
        <v>25</v>
      </c>
      <c r="E147" s="2">
        <v>17371</v>
      </c>
      <c r="F147" s="2">
        <v>13</v>
      </c>
      <c r="G147" s="4">
        <v>36</v>
      </c>
      <c r="H147" t="s">
        <v>19</v>
      </c>
      <c r="I147" t="s">
        <v>20</v>
      </c>
      <c r="J147" t="s">
        <v>21</v>
      </c>
      <c r="K147" s="2">
        <v>34886</v>
      </c>
      <c r="L147" t="s">
        <v>22</v>
      </c>
      <c r="M147" s="2">
        <v>0.12</v>
      </c>
      <c r="N147" s="2">
        <v>0.93</v>
      </c>
      <c r="O147" s="2">
        <v>19629.23</v>
      </c>
      <c r="P147" s="2">
        <v>0</v>
      </c>
      <c r="Q147">
        <f t="shared" si="8"/>
        <v>18678.494623655912</v>
      </c>
      <c r="R147">
        <f t="shared" ca="1" si="9"/>
        <v>41</v>
      </c>
      <c r="S147" s="2">
        <f t="shared" si="10"/>
        <v>2258.2299999999996</v>
      </c>
      <c r="T147" s="18">
        <v>0.1</v>
      </c>
      <c r="U147">
        <f t="shared" si="11"/>
        <v>2484.0529999999999</v>
      </c>
    </row>
    <row r="148" spans="1:21" x14ac:dyDescent="0.3">
      <c r="A148" t="s">
        <v>338</v>
      </c>
      <c r="B148" s="1">
        <v>44416</v>
      </c>
      <c r="C148" t="s">
        <v>339</v>
      </c>
      <c r="D148" s="3" t="s">
        <v>72</v>
      </c>
      <c r="E148" s="2">
        <v>30629</v>
      </c>
      <c r="F148" s="2">
        <v>22.5</v>
      </c>
      <c r="G148" s="4">
        <v>60</v>
      </c>
      <c r="H148" t="s">
        <v>26</v>
      </c>
      <c r="I148" t="s">
        <v>20</v>
      </c>
      <c r="J148" t="s">
        <v>47</v>
      </c>
      <c r="K148" s="2">
        <v>141249</v>
      </c>
      <c r="L148" t="s">
        <v>22</v>
      </c>
      <c r="M148" s="2">
        <v>0.31</v>
      </c>
      <c r="N148" s="2">
        <v>0.74</v>
      </c>
      <c r="O148" s="2">
        <v>3262.78</v>
      </c>
      <c r="P148" s="2">
        <v>0</v>
      </c>
      <c r="Q148">
        <f t="shared" si="8"/>
        <v>41390.54054054054</v>
      </c>
      <c r="R148">
        <f t="shared" ca="1" si="9"/>
        <v>55</v>
      </c>
      <c r="S148" s="2">
        <f t="shared" si="10"/>
        <v>-27366.22</v>
      </c>
      <c r="T148" s="18">
        <v>0.1</v>
      </c>
      <c r="U148">
        <f t="shared" si="11"/>
        <v>-30102.842000000004</v>
      </c>
    </row>
    <row r="149" spans="1:21" x14ac:dyDescent="0.3">
      <c r="A149" t="s">
        <v>340</v>
      </c>
      <c r="B149" s="1">
        <v>45051</v>
      </c>
      <c r="C149" t="s">
        <v>341</v>
      </c>
      <c r="D149" s="3" t="s">
        <v>18</v>
      </c>
      <c r="E149" s="2">
        <v>9436</v>
      </c>
      <c r="F149" s="2">
        <v>15.2</v>
      </c>
      <c r="G149" s="4">
        <v>60</v>
      </c>
      <c r="H149" t="s">
        <v>26</v>
      </c>
      <c r="I149" t="s">
        <v>73</v>
      </c>
      <c r="J149" t="s">
        <v>37</v>
      </c>
      <c r="K149" s="2">
        <v>37485</v>
      </c>
      <c r="L149" t="s">
        <v>29</v>
      </c>
      <c r="M149" s="2">
        <v>0.33</v>
      </c>
      <c r="N149" s="2">
        <v>0.78</v>
      </c>
      <c r="O149" s="2">
        <v>2248.61</v>
      </c>
      <c r="P149" s="2">
        <v>0</v>
      </c>
      <c r="Q149">
        <f t="shared" si="8"/>
        <v>12097.435897435897</v>
      </c>
      <c r="R149">
        <f t="shared" ca="1" si="9"/>
        <v>34</v>
      </c>
      <c r="S149" s="2">
        <f t="shared" si="10"/>
        <v>-7187.3899999999994</v>
      </c>
      <c r="T149" s="18">
        <v>0.1</v>
      </c>
      <c r="U149">
        <f t="shared" si="11"/>
        <v>-7906.1289999999999</v>
      </c>
    </row>
    <row r="150" spans="1:21" x14ac:dyDescent="0.3">
      <c r="A150" t="s">
        <v>342</v>
      </c>
      <c r="B150" s="1">
        <v>44581</v>
      </c>
      <c r="C150" t="s">
        <v>343</v>
      </c>
      <c r="D150" s="3" t="s">
        <v>46</v>
      </c>
      <c r="E150" s="2">
        <v>13984</v>
      </c>
      <c r="F150" s="2">
        <v>19.5</v>
      </c>
      <c r="G150" s="4">
        <v>36</v>
      </c>
      <c r="H150" t="s">
        <v>19</v>
      </c>
      <c r="I150" t="s">
        <v>36</v>
      </c>
      <c r="J150" t="s">
        <v>28</v>
      </c>
      <c r="K150" s="2">
        <v>61455</v>
      </c>
      <c r="L150" t="s">
        <v>29</v>
      </c>
      <c r="M150" s="2">
        <v>0.4</v>
      </c>
      <c r="N150" s="2">
        <v>0.81</v>
      </c>
      <c r="O150" s="2">
        <v>16710.88</v>
      </c>
      <c r="P150" s="2">
        <v>0</v>
      </c>
      <c r="Q150">
        <f t="shared" si="8"/>
        <v>17264.197530864196</v>
      </c>
      <c r="R150">
        <f t="shared" ca="1" si="9"/>
        <v>49</v>
      </c>
      <c r="S150" s="2">
        <f t="shared" si="10"/>
        <v>2726.880000000001</v>
      </c>
      <c r="T150" s="18">
        <v>0.1</v>
      </c>
      <c r="U150">
        <f t="shared" si="11"/>
        <v>2999.5680000000016</v>
      </c>
    </row>
    <row r="151" spans="1:21" x14ac:dyDescent="0.3">
      <c r="A151" t="s">
        <v>344</v>
      </c>
      <c r="B151" s="1">
        <v>45273</v>
      </c>
      <c r="C151" t="s">
        <v>345</v>
      </c>
      <c r="D151" s="3" t="s">
        <v>40</v>
      </c>
      <c r="E151" s="2">
        <v>34039</v>
      </c>
      <c r="F151" s="2">
        <v>7.1</v>
      </c>
      <c r="G151" s="4">
        <v>60</v>
      </c>
      <c r="H151" t="s">
        <v>60</v>
      </c>
      <c r="I151" t="s">
        <v>84</v>
      </c>
      <c r="J151" t="s">
        <v>21</v>
      </c>
      <c r="K151" s="2">
        <v>141984</v>
      </c>
      <c r="L151" t="s">
        <v>22</v>
      </c>
      <c r="M151" s="2">
        <v>0.15</v>
      </c>
      <c r="N151" s="2">
        <v>0.8</v>
      </c>
      <c r="O151" s="2">
        <v>0</v>
      </c>
      <c r="P151" s="2">
        <v>0</v>
      </c>
      <c r="Q151">
        <f t="shared" si="8"/>
        <v>42548.75</v>
      </c>
      <c r="R151">
        <f t="shared" ca="1" si="9"/>
        <v>27</v>
      </c>
      <c r="S151" s="2">
        <f t="shared" si="10"/>
        <v>-34039</v>
      </c>
      <c r="T151" s="18">
        <v>0.1</v>
      </c>
      <c r="U151">
        <f t="shared" si="11"/>
        <v>-37442.9</v>
      </c>
    </row>
    <row r="152" spans="1:21" x14ac:dyDescent="0.3">
      <c r="A152" t="s">
        <v>346</v>
      </c>
      <c r="B152" s="1">
        <v>44926</v>
      </c>
      <c r="C152" t="s">
        <v>347</v>
      </c>
      <c r="D152" s="3" t="s">
        <v>25</v>
      </c>
      <c r="E152" s="2">
        <v>20895</v>
      </c>
      <c r="F152" s="2">
        <v>9.5</v>
      </c>
      <c r="G152" s="4">
        <v>36</v>
      </c>
      <c r="H152" t="s">
        <v>19</v>
      </c>
      <c r="I152" t="s">
        <v>41</v>
      </c>
      <c r="J152" t="s">
        <v>47</v>
      </c>
      <c r="K152" s="2">
        <v>46767</v>
      </c>
      <c r="L152" t="s">
        <v>29</v>
      </c>
      <c r="M152" s="2">
        <v>0.31</v>
      </c>
      <c r="N152" s="2">
        <v>0.73</v>
      </c>
      <c r="O152" s="2">
        <v>22880.02</v>
      </c>
      <c r="P152" s="2">
        <v>0</v>
      </c>
      <c r="Q152">
        <f t="shared" si="8"/>
        <v>28623.287671232876</v>
      </c>
      <c r="R152">
        <f t="shared" ca="1" si="9"/>
        <v>38</v>
      </c>
      <c r="S152" s="2">
        <f t="shared" si="10"/>
        <v>1985.0200000000004</v>
      </c>
      <c r="T152" s="18">
        <v>0.1</v>
      </c>
      <c r="U152">
        <f t="shared" si="11"/>
        <v>2183.5220000000008</v>
      </c>
    </row>
    <row r="153" spans="1:21" x14ac:dyDescent="0.3">
      <c r="A153" t="s">
        <v>348</v>
      </c>
      <c r="B153" s="1">
        <v>44443</v>
      </c>
      <c r="C153" t="s">
        <v>349</v>
      </c>
      <c r="D153" s="3" t="s">
        <v>46</v>
      </c>
      <c r="E153" s="2">
        <v>19155</v>
      </c>
      <c r="F153" s="2">
        <v>19.100000000000001</v>
      </c>
      <c r="G153" s="4">
        <v>36</v>
      </c>
      <c r="H153" t="s">
        <v>26</v>
      </c>
      <c r="I153" t="s">
        <v>73</v>
      </c>
      <c r="J153" t="s">
        <v>21</v>
      </c>
      <c r="K153" s="2">
        <v>142701</v>
      </c>
      <c r="L153" t="s">
        <v>29</v>
      </c>
      <c r="M153" s="2">
        <v>0.18</v>
      </c>
      <c r="N153" s="2">
        <v>0.69</v>
      </c>
      <c r="O153" s="2">
        <v>3927.79</v>
      </c>
      <c r="P153" s="2">
        <v>0</v>
      </c>
      <c r="Q153">
        <f t="shared" si="8"/>
        <v>27760.869565217392</v>
      </c>
      <c r="R153">
        <f t="shared" ca="1" si="9"/>
        <v>54</v>
      </c>
      <c r="S153" s="2">
        <f t="shared" si="10"/>
        <v>-15227.21</v>
      </c>
      <c r="T153" s="18">
        <v>0.1</v>
      </c>
      <c r="U153">
        <f t="shared" si="11"/>
        <v>-16749.931</v>
      </c>
    </row>
    <row r="154" spans="1:21" x14ac:dyDescent="0.3">
      <c r="A154" t="s">
        <v>350</v>
      </c>
      <c r="B154" s="1">
        <v>45032</v>
      </c>
      <c r="C154" t="s">
        <v>351</v>
      </c>
      <c r="D154" s="3" t="s">
        <v>50</v>
      </c>
      <c r="E154" s="2">
        <v>11616</v>
      </c>
      <c r="F154" s="2">
        <v>6.1</v>
      </c>
      <c r="G154" s="4">
        <v>36</v>
      </c>
      <c r="H154" t="s">
        <v>19</v>
      </c>
      <c r="I154" t="s">
        <v>84</v>
      </c>
      <c r="J154" t="s">
        <v>21</v>
      </c>
      <c r="K154" s="2">
        <v>58453</v>
      </c>
      <c r="L154" t="s">
        <v>22</v>
      </c>
      <c r="M154" s="2">
        <v>0.14000000000000001</v>
      </c>
      <c r="N154" s="2">
        <v>0.52</v>
      </c>
      <c r="O154" s="2">
        <v>12324.58</v>
      </c>
      <c r="P154" s="2">
        <v>0</v>
      </c>
      <c r="Q154">
        <f t="shared" si="8"/>
        <v>22338.461538461539</v>
      </c>
      <c r="R154">
        <f t="shared" ca="1" si="9"/>
        <v>35</v>
      </c>
      <c r="S154" s="2">
        <f t="shared" si="10"/>
        <v>708.57999999999993</v>
      </c>
      <c r="T154" s="18">
        <v>0.1</v>
      </c>
      <c r="U154">
        <f t="shared" si="11"/>
        <v>779.43799999999999</v>
      </c>
    </row>
    <row r="155" spans="1:21" x14ac:dyDescent="0.3">
      <c r="A155" t="s">
        <v>352</v>
      </c>
      <c r="B155" s="1">
        <v>44399</v>
      </c>
      <c r="C155" t="s">
        <v>353</v>
      </c>
      <c r="D155" s="3" t="s">
        <v>46</v>
      </c>
      <c r="E155" s="2">
        <v>38129</v>
      </c>
      <c r="F155" s="2">
        <v>14.7</v>
      </c>
      <c r="G155" s="4">
        <v>36</v>
      </c>
      <c r="H155" t="s">
        <v>26</v>
      </c>
      <c r="I155" t="s">
        <v>84</v>
      </c>
      <c r="J155" t="s">
        <v>21</v>
      </c>
      <c r="K155" s="2">
        <v>106280</v>
      </c>
      <c r="L155" t="s">
        <v>33</v>
      </c>
      <c r="M155" s="2">
        <v>0.26</v>
      </c>
      <c r="N155" s="2">
        <v>0.51</v>
      </c>
      <c r="O155" s="2">
        <v>10453.74</v>
      </c>
      <c r="P155" s="2">
        <v>0</v>
      </c>
      <c r="Q155">
        <f t="shared" si="8"/>
        <v>74762.745098039217</v>
      </c>
      <c r="R155">
        <f t="shared" ca="1" si="9"/>
        <v>55</v>
      </c>
      <c r="S155" s="2">
        <f t="shared" si="10"/>
        <v>-27675.260000000002</v>
      </c>
      <c r="T155" s="18">
        <v>0.1</v>
      </c>
      <c r="U155">
        <f t="shared" si="11"/>
        <v>-30442.786000000004</v>
      </c>
    </row>
    <row r="156" spans="1:21" x14ac:dyDescent="0.3">
      <c r="A156" t="s">
        <v>354</v>
      </c>
      <c r="B156" s="1">
        <v>44319</v>
      </c>
      <c r="C156" t="s">
        <v>355</v>
      </c>
      <c r="D156" s="3" t="s">
        <v>65</v>
      </c>
      <c r="E156" s="2">
        <v>25574</v>
      </c>
      <c r="F156" s="2">
        <v>17</v>
      </c>
      <c r="G156" s="4">
        <v>36</v>
      </c>
      <c r="H156" t="s">
        <v>19</v>
      </c>
      <c r="I156" t="s">
        <v>27</v>
      </c>
      <c r="J156" t="s">
        <v>32</v>
      </c>
      <c r="K156" s="2">
        <v>132638</v>
      </c>
      <c r="L156" t="s">
        <v>29</v>
      </c>
      <c r="M156" s="2">
        <v>0.17</v>
      </c>
      <c r="N156" s="2">
        <v>0.66</v>
      </c>
      <c r="O156" s="2">
        <v>29921.58</v>
      </c>
      <c r="P156" s="2">
        <v>0</v>
      </c>
      <c r="Q156">
        <f t="shared" si="8"/>
        <v>38748.484848484848</v>
      </c>
      <c r="R156">
        <f t="shared" ca="1" si="9"/>
        <v>58</v>
      </c>
      <c r="S156" s="2">
        <f t="shared" si="10"/>
        <v>4347.5800000000017</v>
      </c>
      <c r="T156" s="18">
        <v>0.1</v>
      </c>
      <c r="U156">
        <f t="shared" si="11"/>
        <v>4782.3380000000025</v>
      </c>
    </row>
    <row r="157" spans="1:21" x14ac:dyDescent="0.3">
      <c r="A157" t="s">
        <v>356</v>
      </c>
      <c r="B157" s="1">
        <v>44597</v>
      </c>
      <c r="C157" t="s">
        <v>357</v>
      </c>
      <c r="D157" s="3" t="s">
        <v>40</v>
      </c>
      <c r="E157" s="2">
        <v>4430</v>
      </c>
      <c r="F157" s="2">
        <v>17</v>
      </c>
      <c r="G157" s="4">
        <v>60</v>
      </c>
      <c r="H157" t="s">
        <v>19</v>
      </c>
      <c r="I157" t="s">
        <v>57</v>
      </c>
      <c r="J157" t="s">
        <v>47</v>
      </c>
      <c r="K157" s="2">
        <v>83442</v>
      </c>
      <c r="L157" t="s">
        <v>22</v>
      </c>
      <c r="M157" s="2">
        <v>0.19</v>
      </c>
      <c r="N157" s="2">
        <v>0.65</v>
      </c>
      <c r="O157" s="2">
        <v>5183.1000000000004</v>
      </c>
      <c r="P157" s="2">
        <v>0</v>
      </c>
      <c r="Q157">
        <f t="shared" si="8"/>
        <v>6815.3846153846152</v>
      </c>
      <c r="R157">
        <f t="shared" ca="1" si="9"/>
        <v>49</v>
      </c>
      <c r="S157" s="2">
        <f t="shared" si="10"/>
        <v>753.10000000000036</v>
      </c>
      <c r="T157" s="18">
        <v>0.1</v>
      </c>
      <c r="U157">
        <f t="shared" si="11"/>
        <v>828.41000000000042</v>
      </c>
    </row>
    <row r="158" spans="1:21" x14ac:dyDescent="0.3">
      <c r="A158" t="s">
        <v>358</v>
      </c>
      <c r="B158" s="1">
        <v>44963</v>
      </c>
      <c r="C158" t="s">
        <v>359</v>
      </c>
      <c r="D158" s="3" t="s">
        <v>76</v>
      </c>
      <c r="E158" s="2">
        <v>13676</v>
      </c>
      <c r="F158" s="2">
        <v>5.5</v>
      </c>
      <c r="G158" s="4">
        <v>36</v>
      </c>
      <c r="H158" t="s">
        <v>19</v>
      </c>
      <c r="I158" t="s">
        <v>73</v>
      </c>
      <c r="J158" t="s">
        <v>47</v>
      </c>
      <c r="K158" s="2">
        <v>81877</v>
      </c>
      <c r="L158" t="s">
        <v>29</v>
      </c>
      <c r="M158" s="2">
        <v>0.23</v>
      </c>
      <c r="N158" s="2">
        <v>0.67</v>
      </c>
      <c r="O158" s="2">
        <v>14428.18</v>
      </c>
      <c r="P158" s="2">
        <v>0</v>
      </c>
      <c r="Q158">
        <f t="shared" si="8"/>
        <v>20411.940298507463</v>
      </c>
      <c r="R158">
        <f t="shared" ca="1" si="9"/>
        <v>37</v>
      </c>
      <c r="S158" s="2">
        <f t="shared" si="10"/>
        <v>752.18000000000029</v>
      </c>
      <c r="T158" s="18">
        <v>0.1</v>
      </c>
      <c r="U158">
        <f t="shared" si="11"/>
        <v>827.39800000000037</v>
      </c>
    </row>
    <row r="159" spans="1:21" x14ac:dyDescent="0.3">
      <c r="A159" t="s">
        <v>360</v>
      </c>
      <c r="B159" s="1">
        <v>44490</v>
      </c>
      <c r="C159" t="s">
        <v>361</v>
      </c>
      <c r="D159" s="3" t="s">
        <v>53</v>
      </c>
      <c r="E159" s="2">
        <v>11816</v>
      </c>
      <c r="F159" s="2">
        <v>11.4</v>
      </c>
      <c r="G159" s="4">
        <v>36</v>
      </c>
      <c r="H159" t="s">
        <v>26</v>
      </c>
      <c r="I159" t="s">
        <v>84</v>
      </c>
      <c r="J159" t="s">
        <v>21</v>
      </c>
      <c r="K159" s="2">
        <v>42226</v>
      </c>
      <c r="L159" t="s">
        <v>29</v>
      </c>
      <c r="M159" s="2">
        <v>0.2</v>
      </c>
      <c r="N159" s="2">
        <v>0.56000000000000005</v>
      </c>
      <c r="O159" s="2">
        <v>3024.12</v>
      </c>
      <c r="P159" s="2">
        <v>0</v>
      </c>
      <c r="Q159">
        <f t="shared" si="8"/>
        <v>21099.999999999996</v>
      </c>
      <c r="R159">
        <f t="shared" ca="1" si="9"/>
        <v>52</v>
      </c>
      <c r="S159" s="2">
        <f t="shared" si="10"/>
        <v>-8791.880000000001</v>
      </c>
      <c r="T159" s="18">
        <v>0.1</v>
      </c>
      <c r="U159">
        <f t="shared" si="11"/>
        <v>-9671.0680000000011</v>
      </c>
    </row>
    <row r="160" spans="1:21" x14ac:dyDescent="0.3">
      <c r="A160" t="s">
        <v>362</v>
      </c>
      <c r="B160" s="1">
        <v>44476</v>
      </c>
      <c r="C160" t="s">
        <v>363</v>
      </c>
      <c r="D160" s="3" t="s">
        <v>18</v>
      </c>
      <c r="E160" s="2">
        <v>33733</v>
      </c>
      <c r="F160" s="2">
        <v>17.7</v>
      </c>
      <c r="G160" s="4">
        <v>60</v>
      </c>
      <c r="H160" t="s">
        <v>19</v>
      </c>
      <c r="I160" t="s">
        <v>57</v>
      </c>
      <c r="J160" t="s">
        <v>28</v>
      </c>
      <c r="K160" s="2">
        <v>123405</v>
      </c>
      <c r="L160" t="s">
        <v>22</v>
      </c>
      <c r="M160" s="2">
        <v>0.14000000000000001</v>
      </c>
      <c r="N160" s="2">
        <v>0.83</v>
      </c>
      <c r="O160" s="2">
        <v>39703.74</v>
      </c>
      <c r="P160" s="2">
        <v>0</v>
      </c>
      <c r="Q160">
        <f t="shared" si="8"/>
        <v>40642.168674698798</v>
      </c>
      <c r="R160">
        <f t="shared" ca="1" si="9"/>
        <v>53</v>
      </c>
      <c r="S160" s="2">
        <f t="shared" si="10"/>
        <v>5970.739999999998</v>
      </c>
      <c r="T160" s="18">
        <v>0.1</v>
      </c>
      <c r="U160">
        <f t="shared" si="11"/>
        <v>6567.8139999999985</v>
      </c>
    </row>
    <row r="161" spans="1:21" x14ac:dyDescent="0.3">
      <c r="A161" t="s">
        <v>364</v>
      </c>
      <c r="B161" s="1">
        <v>45080</v>
      </c>
      <c r="C161" t="s">
        <v>365</v>
      </c>
      <c r="D161" s="3" t="s">
        <v>76</v>
      </c>
      <c r="E161" s="2">
        <v>21144</v>
      </c>
      <c r="F161" s="2">
        <v>8</v>
      </c>
      <c r="G161" s="4">
        <v>60</v>
      </c>
      <c r="H161" t="s">
        <v>26</v>
      </c>
      <c r="I161" t="s">
        <v>36</v>
      </c>
      <c r="J161" t="s">
        <v>21</v>
      </c>
      <c r="K161" s="2">
        <v>52588</v>
      </c>
      <c r="L161" t="s">
        <v>29</v>
      </c>
      <c r="M161" s="2">
        <v>0.14000000000000001</v>
      </c>
      <c r="N161" s="2">
        <v>0.89</v>
      </c>
      <c r="O161" s="2">
        <v>5994.33</v>
      </c>
      <c r="P161" s="2">
        <v>0</v>
      </c>
      <c r="Q161">
        <f t="shared" si="8"/>
        <v>23757.303370786518</v>
      </c>
      <c r="R161">
        <f t="shared" ca="1" si="9"/>
        <v>33</v>
      </c>
      <c r="S161" s="2">
        <f t="shared" si="10"/>
        <v>-15149.67</v>
      </c>
      <c r="T161" s="18">
        <v>0.1</v>
      </c>
      <c r="U161">
        <f t="shared" si="11"/>
        <v>-16664.637000000002</v>
      </c>
    </row>
    <row r="162" spans="1:21" x14ac:dyDescent="0.3">
      <c r="A162" t="s">
        <v>366</v>
      </c>
      <c r="B162" s="1">
        <v>44394</v>
      </c>
      <c r="C162" t="s">
        <v>367</v>
      </c>
      <c r="D162" s="3" t="s">
        <v>25</v>
      </c>
      <c r="E162" s="2">
        <v>3050</v>
      </c>
      <c r="F162" s="2">
        <v>18.899999999999999</v>
      </c>
      <c r="G162" s="4">
        <v>60</v>
      </c>
      <c r="H162" t="s">
        <v>26</v>
      </c>
      <c r="I162" t="s">
        <v>20</v>
      </c>
      <c r="J162" t="s">
        <v>32</v>
      </c>
      <c r="K162" s="2">
        <v>108976</v>
      </c>
      <c r="L162" t="s">
        <v>29</v>
      </c>
      <c r="M162" s="2">
        <v>0.18</v>
      </c>
      <c r="N162" s="2">
        <v>0.92</v>
      </c>
      <c r="O162" s="2">
        <v>344.54</v>
      </c>
      <c r="P162" s="2">
        <v>0</v>
      </c>
      <c r="Q162">
        <f t="shared" si="8"/>
        <v>3315.2173913043475</v>
      </c>
      <c r="R162">
        <f t="shared" ca="1" si="9"/>
        <v>56</v>
      </c>
      <c r="S162" s="2">
        <f t="shared" si="10"/>
        <v>-2705.46</v>
      </c>
      <c r="T162" s="18">
        <v>0.1</v>
      </c>
      <c r="U162">
        <f t="shared" si="11"/>
        <v>-2976.0060000000003</v>
      </c>
    </row>
    <row r="163" spans="1:21" x14ac:dyDescent="0.3">
      <c r="A163" t="s">
        <v>368</v>
      </c>
      <c r="B163" s="1">
        <v>45178</v>
      </c>
      <c r="C163" t="s">
        <v>369</v>
      </c>
      <c r="D163" s="3" t="s">
        <v>40</v>
      </c>
      <c r="E163" s="2">
        <v>34933</v>
      </c>
      <c r="F163" s="2">
        <v>19.899999999999999</v>
      </c>
      <c r="G163" s="4">
        <v>36</v>
      </c>
      <c r="H163" t="s">
        <v>19</v>
      </c>
      <c r="I163" t="s">
        <v>27</v>
      </c>
      <c r="J163" t="s">
        <v>37</v>
      </c>
      <c r="K163" s="2">
        <v>61709</v>
      </c>
      <c r="L163" t="s">
        <v>29</v>
      </c>
      <c r="M163" s="2">
        <v>0.12</v>
      </c>
      <c r="N163" s="2">
        <v>0.72</v>
      </c>
      <c r="O163" s="2">
        <v>41884.67</v>
      </c>
      <c r="P163" s="2">
        <v>0</v>
      </c>
      <c r="Q163">
        <f t="shared" si="8"/>
        <v>48518.055555555555</v>
      </c>
      <c r="R163">
        <f t="shared" ca="1" si="9"/>
        <v>30</v>
      </c>
      <c r="S163" s="2">
        <f t="shared" si="10"/>
        <v>6951.6699999999983</v>
      </c>
      <c r="T163" s="18">
        <v>0.1</v>
      </c>
      <c r="U163">
        <f t="shared" si="11"/>
        <v>7646.8369999999986</v>
      </c>
    </row>
    <row r="164" spans="1:21" x14ac:dyDescent="0.3">
      <c r="A164" t="s">
        <v>370</v>
      </c>
      <c r="B164" s="1">
        <v>44948</v>
      </c>
      <c r="C164" t="s">
        <v>371</v>
      </c>
      <c r="D164" s="3" t="s">
        <v>53</v>
      </c>
      <c r="E164" s="2">
        <v>25951</v>
      </c>
      <c r="F164" s="2">
        <v>24.6</v>
      </c>
      <c r="G164" s="4">
        <v>36</v>
      </c>
      <c r="H164" t="s">
        <v>19</v>
      </c>
      <c r="I164" t="s">
        <v>27</v>
      </c>
      <c r="J164" t="s">
        <v>32</v>
      </c>
      <c r="K164" s="2">
        <v>77788</v>
      </c>
      <c r="L164" t="s">
        <v>33</v>
      </c>
      <c r="M164" s="2">
        <v>0.35</v>
      </c>
      <c r="N164" s="2">
        <v>0.82</v>
      </c>
      <c r="O164" s="2">
        <v>32334.95</v>
      </c>
      <c r="P164" s="2">
        <v>0</v>
      </c>
      <c r="Q164">
        <f t="shared" si="8"/>
        <v>31647.560975609758</v>
      </c>
      <c r="R164">
        <f t="shared" ca="1" si="9"/>
        <v>37</v>
      </c>
      <c r="S164" s="2">
        <f t="shared" si="10"/>
        <v>6383.9500000000007</v>
      </c>
      <c r="T164" s="18">
        <v>0.1</v>
      </c>
      <c r="U164">
        <f t="shared" si="11"/>
        <v>7022.3450000000012</v>
      </c>
    </row>
    <row r="165" spans="1:21" x14ac:dyDescent="0.3">
      <c r="A165" t="s">
        <v>372</v>
      </c>
      <c r="B165" s="1">
        <v>44340</v>
      </c>
      <c r="C165" t="s">
        <v>373</v>
      </c>
      <c r="D165" s="3" t="s">
        <v>46</v>
      </c>
      <c r="E165" s="2">
        <v>33413</v>
      </c>
      <c r="F165" s="2">
        <v>9.1999999999999993</v>
      </c>
      <c r="G165" s="4">
        <v>36</v>
      </c>
      <c r="H165" t="s">
        <v>19</v>
      </c>
      <c r="I165" t="s">
        <v>27</v>
      </c>
      <c r="J165" t="s">
        <v>28</v>
      </c>
      <c r="K165" s="2">
        <v>118031</v>
      </c>
      <c r="L165" t="s">
        <v>33</v>
      </c>
      <c r="M165" s="2">
        <v>0.21</v>
      </c>
      <c r="N165" s="2">
        <v>0.88</v>
      </c>
      <c r="O165" s="2">
        <v>36487</v>
      </c>
      <c r="P165" s="2">
        <v>0</v>
      </c>
      <c r="Q165">
        <f t="shared" si="8"/>
        <v>37969.318181818184</v>
      </c>
      <c r="R165">
        <f t="shared" ca="1" si="9"/>
        <v>57</v>
      </c>
      <c r="S165" s="2">
        <f t="shared" si="10"/>
        <v>3074</v>
      </c>
      <c r="T165" s="18">
        <v>0.1</v>
      </c>
      <c r="U165">
        <f t="shared" si="11"/>
        <v>3381.4</v>
      </c>
    </row>
    <row r="166" spans="1:21" x14ac:dyDescent="0.3">
      <c r="A166" t="s">
        <v>374</v>
      </c>
      <c r="B166" s="1">
        <v>44805</v>
      </c>
      <c r="C166" t="s">
        <v>375</v>
      </c>
      <c r="D166" s="3" t="s">
        <v>40</v>
      </c>
      <c r="E166" s="2">
        <v>35801</v>
      </c>
      <c r="F166" s="2">
        <v>21.5</v>
      </c>
      <c r="G166" s="4">
        <v>60</v>
      </c>
      <c r="H166" t="s">
        <v>26</v>
      </c>
      <c r="I166" t="s">
        <v>57</v>
      </c>
      <c r="J166" t="s">
        <v>21</v>
      </c>
      <c r="K166" s="2">
        <v>67019</v>
      </c>
      <c r="L166" t="s">
        <v>29</v>
      </c>
      <c r="M166" s="2">
        <v>0.21</v>
      </c>
      <c r="N166" s="2">
        <v>0.69</v>
      </c>
      <c r="O166" s="2">
        <v>10056.99</v>
      </c>
      <c r="P166" s="2">
        <v>0</v>
      </c>
      <c r="Q166">
        <f t="shared" si="8"/>
        <v>51885.507246376816</v>
      </c>
      <c r="R166">
        <f t="shared" ca="1" si="9"/>
        <v>42</v>
      </c>
      <c r="S166" s="2">
        <f t="shared" si="10"/>
        <v>-25744.010000000002</v>
      </c>
      <c r="T166" s="18">
        <v>0.1</v>
      </c>
      <c r="U166">
        <f t="shared" si="11"/>
        <v>-28318.411000000004</v>
      </c>
    </row>
    <row r="167" spans="1:21" x14ac:dyDescent="0.3">
      <c r="A167" t="s">
        <v>376</v>
      </c>
      <c r="B167" s="1">
        <v>44383</v>
      </c>
      <c r="C167" t="s">
        <v>377</v>
      </c>
      <c r="D167" s="3" t="s">
        <v>46</v>
      </c>
      <c r="E167" s="2">
        <v>33913</v>
      </c>
      <c r="F167" s="2">
        <v>15.4</v>
      </c>
      <c r="G167" s="4">
        <v>36</v>
      </c>
      <c r="H167" t="s">
        <v>19</v>
      </c>
      <c r="I167" t="s">
        <v>36</v>
      </c>
      <c r="J167" t="s">
        <v>47</v>
      </c>
      <c r="K167" s="2">
        <v>74948</v>
      </c>
      <c r="L167" t="s">
        <v>22</v>
      </c>
      <c r="M167" s="2">
        <v>0.23</v>
      </c>
      <c r="N167" s="2">
        <v>0.64</v>
      </c>
      <c r="O167" s="2">
        <v>39135.599999999999</v>
      </c>
      <c r="P167" s="2">
        <v>0</v>
      </c>
      <c r="Q167">
        <f t="shared" si="8"/>
        <v>52989.0625</v>
      </c>
      <c r="R167">
        <f t="shared" ca="1" si="9"/>
        <v>56</v>
      </c>
      <c r="S167" s="2">
        <f t="shared" si="10"/>
        <v>5222.5999999999985</v>
      </c>
      <c r="T167" s="18">
        <v>0.1</v>
      </c>
      <c r="U167">
        <f t="shared" si="11"/>
        <v>5744.8599999999988</v>
      </c>
    </row>
    <row r="168" spans="1:21" x14ac:dyDescent="0.3">
      <c r="A168" t="s">
        <v>378</v>
      </c>
      <c r="B168" s="1">
        <v>44660</v>
      </c>
      <c r="C168" t="s">
        <v>379</v>
      </c>
      <c r="D168" s="3" t="s">
        <v>50</v>
      </c>
      <c r="E168" s="2">
        <v>26280</v>
      </c>
      <c r="F168" s="2">
        <v>12.5</v>
      </c>
      <c r="G168" s="4">
        <v>60</v>
      </c>
      <c r="H168" t="s">
        <v>19</v>
      </c>
      <c r="I168" t="s">
        <v>27</v>
      </c>
      <c r="J168" t="s">
        <v>21</v>
      </c>
      <c r="K168" s="2">
        <v>95133</v>
      </c>
      <c r="L168" t="s">
        <v>29</v>
      </c>
      <c r="M168" s="2">
        <v>0.37</v>
      </c>
      <c r="N168" s="2">
        <v>0.92</v>
      </c>
      <c r="O168" s="2">
        <v>29565</v>
      </c>
      <c r="P168" s="2">
        <v>0</v>
      </c>
      <c r="Q168">
        <f t="shared" si="8"/>
        <v>28565.217391304348</v>
      </c>
      <c r="R168">
        <f t="shared" ca="1" si="9"/>
        <v>47</v>
      </c>
      <c r="S168" s="2">
        <f t="shared" si="10"/>
        <v>3285</v>
      </c>
      <c r="T168" s="18">
        <v>0.1</v>
      </c>
      <c r="U168">
        <f t="shared" si="11"/>
        <v>3613.5000000000005</v>
      </c>
    </row>
    <row r="169" spans="1:21" x14ac:dyDescent="0.3">
      <c r="A169" t="s">
        <v>380</v>
      </c>
      <c r="B169" s="1">
        <v>44856</v>
      </c>
      <c r="C169" t="s">
        <v>381</v>
      </c>
      <c r="D169" s="3" t="s">
        <v>65</v>
      </c>
      <c r="E169" s="2">
        <v>25557</v>
      </c>
      <c r="F169" s="2">
        <v>7.4</v>
      </c>
      <c r="G169" s="4">
        <v>36</v>
      </c>
      <c r="H169" t="s">
        <v>26</v>
      </c>
      <c r="I169" t="s">
        <v>57</v>
      </c>
      <c r="J169" t="s">
        <v>28</v>
      </c>
      <c r="K169" s="2">
        <v>144444</v>
      </c>
      <c r="L169" t="s">
        <v>29</v>
      </c>
      <c r="M169" s="2">
        <v>0.45</v>
      </c>
      <c r="N169" s="2">
        <v>0.73</v>
      </c>
      <c r="O169" s="2">
        <v>4065.82</v>
      </c>
      <c r="P169" s="2">
        <v>0</v>
      </c>
      <c r="Q169">
        <f t="shared" si="8"/>
        <v>35009.589041095889</v>
      </c>
      <c r="R169">
        <f t="shared" ca="1" si="9"/>
        <v>40</v>
      </c>
      <c r="S169" s="2">
        <f t="shared" si="10"/>
        <v>-21491.18</v>
      </c>
      <c r="T169" s="18">
        <v>0.1</v>
      </c>
      <c r="U169">
        <f t="shared" si="11"/>
        <v>-23640.298000000003</v>
      </c>
    </row>
    <row r="170" spans="1:21" x14ac:dyDescent="0.3">
      <c r="A170" t="s">
        <v>382</v>
      </c>
      <c r="B170" s="1">
        <v>44960</v>
      </c>
      <c r="C170" t="s">
        <v>383</v>
      </c>
      <c r="D170" s="3" t="s">
        <v>56</v>
      </c>
      <c r="E170" s="2">
        <v>36400</v>
      </c>
      <c r="F170" s="2">
        <v>19.7</v>
      </c>
      <c r="G170" s="4">
        <v>60</v>
      </c>
      <c r="H170" t="s">
        <v>26</v>
      </c>
      <c r="I170" t="s">
        <v>27</v>
      </c>
      <c r="J170" t="s">
        <v>47</v>
      </c>
      <c r="K170" s="2">
        <v>96458</v>
      </c>
      <c r="L170" t="s">
        <v>33</v>
      </c>
      <c r="M170" s="2">
        <v>0.4</v>
      </c>
      <c r="N170" s="2">
        <v>0.72</v>
      </c>
      <c r="O170" s="2">
        <v>4839.3500000000004</v>
      </c>
      <c r="P170" s="2">
        <v>0</v>
      </c>
      <c r="Q170">
        <f t="shared" si="8"/>
        <v>50555.555555555555</v>
      </c>
      <c r="R170">
        <f t="shared" ca="1" si="9"/>
        <v>37</v>
      </c>
      <c r="S170" s="2">
        <f t="shared" si="10"/>
        <v>-31560.65</v>
      </c>
      <c r="T170" s="18">
        <v>0.1</v>
      </c>
      <c r="U170">
        <f t="shared" si="11"/>
        <v>-34716.715000000004</v>
      </c>
    </row>
    <row r="171" spans="1:21" x14ac:dyDescent="0.3">
      <c r="A171" t="s">
        <v>384</v>
      </c>
      <c r="B171" s="1">
        <v>45151</v>
      </c>
      <c r="C171" t="s">
        <v>385</v>
      </c>
      <c r="D171" s="3" t="s">
        <v>40</v>
      </c>
      <c r="E171" s="2">
        <v>5494</v>
      </c>
      <c r="F171" s="2">
        <v>9.6999999999999993</v>
      </c>
      <c r="G171" s="4">
        <v>36</v>
      </c>
      <c r="H171" t="s">
        <v>19</v>
      </c>
      <c r="I171" t="s">
        <v>57</v>
      </c>
      <c r="J171" t="s">
        <v>32</v>
      </c>
      <c r="K171" s="2">
        <v>147603</v>
      </c>
      <c r="L171" t="s">
        <v>33</v>
      </c>
      <c r="M171" s="2">
        <v>0.39</v>
      </c>
      <c r="N171" s="2">
        <v>0.57999999999999996</v>
      </c>
      <c r="O171" s="2">
        <v>6026.92</v>
      </c>
      <c r="P171" s="2">
        <v>0</v>
      </c>
      <c r="Q171">
        <f t="shared" si="8"/>
        <v>9472.4137931034493</v>
      </c>
      <c r="R171">
        <f t="shared" ca="1" si="9"/>
        <v>31</v>
      </c>
      <c r="S171" s="2">
        <f t="shared" si="10"/>
        <v>532.92000000000007</v>
      </c>
      <c r="T171" s="18">
        <v>0.1</v>
      </c>
      <c r="U171">
        <f t="shared" si="11"/>
        <v>586.2120000000001</v>
      </c>
    </row>
    <row r="172" spans="1:21" x14ac:dyDescent="0.3">
      <c r="A172" t="s">
        <v>386</v>
      </c>
      <c r="B172" s="1">
        <v>44599</v>
      </c>
      <c r="C172" t="s">
        <v>387</v>
      </c>
      <c r="D172" s="3" t="s">
        <v>25</v>
      </c>
      <c r="E172" s="2">
        <v>16152</v>
      </c>
      <c r="F172" s="2">
        <v>12.4</v>
      </c>
      <c r="G172" s="4">
        <v>36</v>
      </c>
      <c r="H172" t="s">
        <v>19</v>
      </c>
      <c r="I172" t="s">
        <v>57</v>
      </c>
      <c r="J172" t="s">
        <v>37</v>
      </c>
      <c r="K172" s="2">
        <v>57526</v>
      </c>
      <c r="L172" t="s">
        <v>33</v>
      </c>
      <c r="M172" s="2">
        <v>0.28999999999999998</v>
      </c>
      <c r="N172" s="2">
        <v>0.55000000000000004</v>
      </c>
      <c r="O172" s="2">
        <v>18154.849999999999</v>
      </c>
      <c r="P172" s="2">
        <v>0</v>
      </c>
      <c r="Q172">
        <f t="shared" si="8"/>
        <v>29367.272727272724</v>
      </c>
      <c r="R172">
        <f t="shared" ca="1" si="9"/>
        <v>49</v>
      </c>
      <c r="S172" s="2">
        <f t="shared" si="10"/>
        <v>2002.8499999999985</v>
      </c>
      <c r="T172" s="18">
        <v>0.1</v>
      </c>
      <c r="U172">
        <f t="shared" si="11"/>
        <v>2203.1349999999984</v>
      </c>
    </row>
    <row r="173" spans="1:21" x14ac:dyDescent="0.3">
      <c r="A173" t="s">
        <v>388</v>
      </c>
      <c r="B173" s="1">
        <v>44343</v>
      </c>
      <c r="C173" t="s">
        <v>389</v>
      </c>
      <c r="D173" s="3" t="s">
        <v>46</v>
      </c>
      <c r="E173" s="2">
        <v>24895</v>
      </c>
      <c r="F173" s="2">
        <v>6.3</v>
      </c>
      <c r="G173" s="4">
        <v>36</v>
      </c>
      <c r="H173" t="s">
        <v>26</v>
      </c>
      <c r="I173" t="s">
        <v>57</v>
      </c>
      <c r="J173" t="s">
        <v>37</v>
      </c>
      <c r="K173" s="2">
        <v>103493</v>
      </c>
      <c r="L173" t="s">
        <v>29</v>
      </c>
      <c r="M173" s="2">
        <v>0.38</v>
      </c>
      <c r="N173" s="2">
        <v>0.88</v>
      </c>
      <c r="O173" s="2">
        <v>1971.07</v>
      </c>
      <c r="P173" s="2">
        <v>0</v>
      </c>
      <c r="Q173">
        <f t="shared" si="8"/>
        <v>28289.772727272728</v>
      </c>
      <c r="R173">
        <f t="shared" ca="1" si="9"/>
        <v>57</v>
      </c>
      <c r="S173" s="2">
        <f t="shared" si="10"/>
        <v>-22923.93</v>
      </c>
      <c r="T173" s="18">
        <v>0.1</v>
      </c>
      <c r="U173">
        <f t="shared" si="11"/>
        <v>-25216.323000000004</v>
      </c>
    </row>
    <row r="174" spans="1:21" x14ac:dyDescent="0.3">
      <c r="A174" t="s">
        <v>390</v>
      </c>
      <c r="B174" s="1">
        <v>45060</v>
      </c>
      <c r="C174" t="s">
        <v>391</v>
      </c>
      <c r="D174" s="3" t="s">
        <v>76</v>
      </c>
      <c r="E174" s="2">
        <v>10155</v>
      </c>
      <c r="F174" s="2">
        <v>21</v>
      </c>
      <c r="G174" s="4">
        <v>60</v>
      </c>
      <c r="H174" t="s">
        <v>81</v>
      </c>
      <c r="I174" t="s">
        <v>84</v>
      </c>
      <c r="J174" t="s">
        <v>21</v>
      </c>
      <c r="K174" s="2">
        <v>82198</v>
      </c>
      <c r="L174" t="s">
        <v>29</v>
      </c>
      <c r="M174" s="2">
        <v>0.32</v>
      </c>
      <c r="N174" s="2">
        <v>0.78</v>
      </c>
      <c r="O174" s="2">
        <v>3338.92</v>
      </c>
      <c r="P174" s="2">
        <v>989.42</v>
      </c>
      <c r="Q174">
        <f t="shared" si="8"/>
        <v>13019.23076923077</v>
      </c>
      <c r="R174">
        <f t="shared" ca="1" si="9"/>
        <v>34</v>
      </c>
      <c r="S174" s="2">
        <f t="shared" si="10"/>
        <v>-5826.66</v>
      </c>
      <c r="T174" s="18">
        <v>0.1</v>
      </c>
      <c r="U174">
        <f t="shared" si="11"/>
        <v>-6409.326</v>
      </c>
    </row>
    <row r="175" spans="1:21" x14ac:dyDescent="0.3">
      <c r="A175" t="s">
        <v>392</v>
      </c>
      <c r="B175" s="1">
        <v>44685</v>
      </c>
      <c r="C175" t="s">
        <v>393</v>
      </c>
      <c r="D175" s="3" t="s">
        <v>50</v>
      </c>
      <c r="E175" s="2">
        <v>32883</v>
      </c>
      <c r="F175" s="2">
        <v>20.3</v>
      </c>
      <c r="G175" s="4">
        <v>60</v>
      </c>
      <c r="H175" t="s">
        <v>81</v>
      </c>
      <c r="I175" t="s">
        <v>73</v>
      </c>
      <c r="J175" t="s">
        <v>32</v>
      </c>
      <c r="K175" s="2">
        <v>144100</v>
      </c>
      <c r="L175" t="s">
        <v>22</v>
      </c>
      <c r="M175" s="2">
        <v>0.19</v>
      </c>
      <c r="N175" s="2">
        <v>0.65</v>
      </c>
      <c r="O175" s="2">
        <v>7504.97</v>
      </c>
      <c r="P175" s="2">
        <v>9677.33</v>
      </c>
      <c r="Q175">
        <f t="shared" si="8"/>
        <v>50589.230769230766</v>
      </c>
      <c r="R175">
        <f t="shared" ca="1" si="9"/>
        <v>46</v>
      </c>
      <c r="S175" s="2">
        <f t="shared" si="10"/>
        <v>-15700.7</v>
      </c>
      <c r="T175" s="18">
        <v>0.1</v>
      </c>
      <c r="U175">
        <f t="shared" si="11"/>
        <v>-17270.77</v>
      </c>
    </row>
    <row r="176" spans="1:21" x14ac:dyDescent="0.3">
      <c r="A176" t="s">
        <v>394</v>
      </c>
      <c r="B176" s="1">
        <v>45125</v>
      </c>
      <c r="C176" t="s">
        <v>395</v>
      </c>
      <c r="D176" s="3" t="s">
        <v>25</v>
      </c>
      <c r="E176" s="2">
        <v>2828</v>
      </c>
      <c r="F176" s="2">
        <v>19.7</v>
      </c>
      <c r="G176" s="4">
        <v>36</v>
      </c>
      <c r="H176" t="s">
        <v>26</v>
      </c>
      <c r="I176" t="s">
        <v>27</v>
      </c>
      <c r="J176" t="s">
        <v>28</v>
      </c>
      <c r="K176" s="2">
        <v>129534</v>
      </c>
      <c r="L176" t="s">
        <v>29</v>
      </c>
      <c r="M176" s="2">
        <v>0.18</v>
      </c>
      <c r="N176" s="2">
        <v>0.59</v>
      </c>
      <c r="O176" s="2">
        <v>938.87</v>
      </c>
      <c r="P176" s="2">
        <v>0</v>
      </c>
      <c r="Q176">
        <f t="shared" si="8"/>
        <v>4793.2203389830511</v>
      </c>
      <c r="R176">
        <f t="shared" ca="1" si="9"/>
        <v>32</v>
      </c>
      <c r="S176" s="2">
        <f t="shared" si="10"/>
        <v>-1889.13</v>
      </c>
      <c r="T176" s="18">
        <v>0.1</v>
      </c>
      <c r="U176">
        <f t="shared" si="11"/>
        <v>-2078.0430000000001</v>
      </c>
    </row>
    <row r="177" spans="1:21" x14ac:dyDescent="0.3">
      <c r="A177" t="s">
        <v>396</v>
      </c>
      <c r="B177" s="1">
        <v>44747</v>
      </c>
      <c r="C177" t="s">
        <v>397</v>
      </c>
      <c r="D177" s="3" t="s">
        <v>18</v>
      </c>
      <c r="E177" s="2">
        <v>33123</v>
      </c>
      <c r="F177" s="2">
        <v>11</v>
      </c>
      <c r="G177" s="4">
        <v>36</v>
      </c>
      <c r="H177" t="s">
        <v>19</v>
      </c>
      <c r="I177" t="s">
        <v>57</v>
      </c>
      <c r="J177" t="s">
        <v>37</v>
      </c>
      <c r="K177" s="2">
        <v>73395</v>
      </c>
      <c r="L177" t="s">
        <v>29</v>
      </c>
      <c r="M177" s="2">
        <v>0.22</v>
      </c>
      <c r="N177" s="2">
        <v>0.75</v>
      </c>
      <c r="O177" s="2">
        <v>36766.53</v>
      </c>
      <c r="P177" s="2">
        <v>0</v>
      </c>
      <c r="Q177">
        <f t="shared" si="8"/>
        <v>44164</v>
      </c>
      <c r="R177">
        <f t="shared" ca="1" si="9"/>
        <v>44</v>
      </c>
      <c r="S177" s="2">
        <f t="shared" si="10"/>
        <v>3643.5299999999988</v>
      </c>
      <c r="T177" s="18">
        <v>0.1</v>
      </c>
      <c r="U177">
        <f t="shared" si="11"/>
        <v>4007.8829999999989</v>
      </c>
    </row>
    <row r="178" spans="1:21" x14ac:dyDescent="0.3">
      <c r="A178" t="s">
        <v>398</v>
      </c>
      <c r="B178" s="1">
        <v>44534</v>
      </c>
      <c r="C178" t="s">
        <v>399</v>
      </c>
      <c r="D178" s="3" t="s">
        <v>56</v>
      </c>
      <c r="E178" s="2">
        <v>38573</v>
      </c>
      <c r="F178" s="2">
        <v>8.5</v>
      </c>
      <c r="G178" s="4">
        <v>36</v>
      </c>
      <c r="H178" t="s">
        <v>19</v>
      </c>
      <c r="I178" t="s">
        <v>57</v>
      </c>
      <c r="J178" t="s">
        <v>32</v>
      </c>
      <c r="K178" s="2">
        <v>54031</v>
      </c>
      <c r="L178" t="s">
        <v>33</v>
      </c>
      <c r="M178" s="2">
        <v>0.46</v>
      </c>
      <c r="N178" s="2">
        <v>0.76</v>
      </c>
      <c r="O178" s="2">
        <v>41851.699999999997</v>
      </c>
      <c r="P178" s="2">
        <v>0</v>
      </c>
      <c r="Q178">
        <f t="shared" si="8"/>
        <v>50753.947368421053</v>
      </c>
      <c r="R178">
        <f t="shared" ca="1" si="9"/>
        <v>51</v>
      </c>
      <c r="S178" s="2">
        <f t="shared" si="10"/>
        <v>3278.6999999999971</v>
      </c>
      <c r="T178" s="18">
        <v>0.1</v>
      </c>
      <c r="U178">
        <f t="shared" si="11"/>
        <v>3606.569999999997</v>
      </c>
    </row>
    <row r="179" spans="1:21" x14ac:dyDescent="0.3">
      <c r="A179" t="s">
        <v>400</v>
      </c>
      <c r="B179" s="1">
        <v>45068</v>
      </c>
      <c r="C179" t="s">
        <v>401</v>
      </c>
      <c r="D179" s="3" t="s">
        <v>50</v>
      </c>
      <c r="E179" s="2">
        <v>1806</v>
      </c>
      <c r="F179" s="2">
        <v>17.8</v>
      </c>
      <c r="G179" s="4">
        <v>60</v>
      </c>
      <c r="H179" t="s">
        <v>19</v>
      </c>
      <c r="I179" t="s">
        <v>36</v>
      </c>
      <c r="J179" t="s">
        <v>21</v>
      </c>
      <c r="K179" s="2">
        <v>105542</v>
      </c>
      <c r="L179" t="s">
        <v>33</v>
      </c>
      <c r="M179" s="2">
        <v>0.32</v>
      </c>
      <c r="N179" s="2">
        <v>0.59</v>
      </c>
      <c r="O179" s="2">
        <v>2127.4699999999998</v>
      </c>
      <c r="P179" s="2">
        <v>0</v>
      </c>
      <c r="Q179">
        <f t="shared" si="8"/>
        <v>3061.0169491525426</v>
      </c>
      <c r="R179">
        <f t="shared" ca="1" si="9"/>
        <v>33</v>
      </c>
      <c r="S179" s="2">
        <f t="shared" si="10"/>
        <v>321.4699999999998</v>
      </c>
      <c r="T179" s="18">
        <v>0.1</v>
      </c>
      <c r="U179">
        <f t="shared" si="11"/>
        <v>353.61699999999979</v>
      </c>
    </row>
    <row r="180" spans="1:21" x14ac:dyDescent="0.3">
      <c r="A180" t="s">
        <v>402</v>
      </c>
      <c r="B180" s="1">
        <v>44837</v>
      </c>
      <c r="C180" t="s">
        <v>403</v>
      </c>
      <c r="D180" s="3" t="s">
        <v>65</v>
      </c>
      <c r="E180" s="2">
        <v>30757</v>
      </c>
      <c r="F180" s="2">
        <v>14.9</v>
      </c>
      <c r="G180" s="4">
        <v>36</v>
      </c>
      <c r="H180" t="s">
        <v>19</v>
      </c>
      <c r="I180" t="s">
        <v>73</v>
      </c>
      <c r="J180" t="s">
        <v>47</v>
      </c>
      <c r="K180" s="2">
        <v>67701</v>
      </c>
      <c r="L180" t="s">
        <v>33</v>
      </c>
      <c r="M180" s="2">
        <v>0.39</v>
      </c>
      <c r="N180" s="2">
        <v>0.88</v>
      </c>
      <c r="O180" s="2">
        <v>35339.79</v>
      </c>
      <c r="P180" s="2">
        <v>0</v>
      </c>
      <c r="Q180">
        <f t="shared" si="8"/>
        <v>34951.13636363636</v>
      </c>
      <c r="R180">
        <f t="shared" ca="1" si="9"/>
        <v>41</v>
      </c>
      <c r="S180" s="2">
        <f t="shared" si="10"/>
        <v>4582.7900000000009</v>
      </c>
      <c r="T180" s="18">
        <v>0.1</v>
      </c>
      <c r="U180">
        <f t="shared" si="11"/>
        <v>5041.0690000000013</v>
      </c>
    </row>
    <row r="181" spans="1:21" x14ac:dyDescent="0.3">
      <c r="A181" t="s">
        <v>404</v>
      </c>
      <c r="B181" s="1">
        <v>44669</v>
      </c>
      <c r="C181" t="s">
        <v>405</v>
      </c>
      <c r="D181" s="3" t="s">
        <v>56</v>
      </c>
      <c r="E181" s="2">
        <v>35636</v>
      </c>
      <c r="F181" s="2">
        <v>8.6</v>
      </c>
      <c r="G181" s="4">
        <v>36</v>
      </c>
      <c r="H181" t="s">
        <v>26</v>
      </c>
      <c r="I181" t="s">
        <v>36</v>
      </c>
      <c r="J181" t="s">
        <v>21</v>
      </c>
      <c r="K181" s="2">
        <v>142599</v>
      </c>
      <c r="L181" t="s">
        <v>33</v>
      </c>
      <c r="M181" s="2">
        <v>0.24</v>
      </c>
      <c r="N181" s="2">
        <v>0.54</v>
      </c>
      <c r="O181" s="2">
        <v>13449.63</v>
      </c>
      <c r="P181" s="2">
        <v>0</v>
      </c>
      <c r="Q181">
        <f t="shared" si="8"/>
        <v>65992.592592592584</v>
      </c>
      <c r="R181">
        <f t="shared" ca="1" si="9"/>
        <v>47</v>
      </c>
      <c r="S181" s="2">
        <f t="shared" si="10"/>
        <v>-22186.370000000003</v>
      </c>
      <c r="T181" s="18">
        <v>0.1</v>
      </c>
      <c r="U181">
        <f t="shared" si="11"/>
        <v>-24405.007000000005</v>
      </c>
    </row>
    <row r="182" spans="1:21" x14ac:dyDescent="0.3">
      <c r="A182" t="s">
        <v>406</v>
      </c>
      <c r="B182" s="1">
        <v>44347</v>
      </c>
      <c r="C182" t="s">
        <v>407</v>
      </c>
      <c r="D182" s="3" t="s">
        <v>46</v>
      </c>
      <c r="E182" s="2">
        <v>15561</v>
      </c>
      <c r="F182" s="2">
        <v>18.7</v>
      </c>
      <c r="G182" s="4">
        <v>36</v>
      </c>
      <c r="H182" t="s">
        <v>19</v>
      </c>
      <c r="I182" t="s">
        <v>20</v>
      </c>
      <c r="J182" t="s">
        <v>21</v>
      </c>
      <c r="K182" s="2">
        <v>55939</v>
      </c>
      <c r="L182" t="s">
        <v>33</v>
      </c>
      <c r="M182" s="2">
        <v>0.26</v>
      </c>
      <c r="N182" s="2">
        <v>0.66</v>
      </c>
      <c r="O182" s="2">
        <v>18470.91</v>
      </c>
      <c r="P182" s="2">
        <v>0</v>
      </c>
      <c r="Q182">
        <f t="shared" si="8"/>
        <v>23577.272727272728</v>
      </c>
      <c r="R182">
        <f t="shared" ca="1" si="9"/>
        <v>57</v>
      </c>
      <c r="S182" s="2">
        <f t="shared" si="10"/>
        <v>2909.91</v>
      </c>
      <c r="T182" s="18">
        <v>0.1</v>
      </c>
      <c r="U182">
        <f t="shared" si="11"/>
        <v>3200.9010000000003</v>
      </c>
    </row>
    <row r="183" spans="1:21" x14ac:dyDescent="0.3">
      <c r="A183" t="s">
        <v>408</v>
      </c>
      <c r="B183" s="1">
        <v>44459</v>
      </c>
      <c r="C183" t="s">
        <v>409</v>
      </c>
      <c r="D183" s="3" t="s">
        <v>25</v>
      </c>
      <c r="E183" s="2">
        <v>25262</v>
      </c>
      <c r="F183" s="2">
        <v>24.8</v>
      </c>
      <c r="G183" s="4">
        <v>36</v>
      </c>
      <c r="H183" t="s">
        <v>19</v>
      </c>
      <c r="I183" t="s">
        <v>20</v>
      </c>
      <c r="J183" t="s">
        <v>32</v>
      </c>
      <c r="K183" s="2">
        <v>79145</v>
      </c>
      <c r="L183" t="s">
        <v>22</v>
      </c>
      <c r="M183" s="2">
        <v>0.15</v>
      </c>
      <c r="N183" s="2">
        <v>0.81</v>
      </c>
      <c r="O183" s="2">
        <v>31526.98</v>
      </c>
      <c r="P183" s="2">
        <v>0</v>
      </c>
      <c r="Q183">
        <f t="shared" si="8"/>
        <v>31187.654320987651</v>
      </c>
      <c r="R183">
        <f t="shared" ca="1" si="9"/>
        <v>53</v>
      </c>
      <c r="S183" s="2">
        <f t="shared" si="10"/>
        <v>6264.98</v>
      </c>
      <c r="T183" s="18">
        <v>0.1</v>
      </c>
      <c r="U183">
        <f t="shared" si="11"/>
        <v>6891.4780000000001</v>
      </c>
    </row>
    <row r="184" spans="1:21" x14ac:dyDescent="0.3">
      <c r="A184" t="s">
        <v>410</v>
      </c>
      <c r="B184" s="1">
        <v>44340</v>
      </c>
      <c r="C184" t="s">
        <v>411</v>
      </c>
      <c r="D184" s="3" t="s">
        <v>18</v>
      </c>
      <c r="E184" s="2">
        <v>15899</v>
      </c>
      <c r="F184" s="2">
        <v>19.899999999999999</v>
      </c>
      <c r="G184" s="4">
        <v>60</v>
      </c>
      <c r="H184" t="s">
        <v>315</v>
      </c>
      <c r="I184" t="s">
        <v>84</v>
      </c>
      <c r="J184" t="s">
        <v>37</v>
      </c>
      <c r="K184" s="2">
        <v>50324</v>
      </c>
      <c r="L184" t="s">
        <v>22</v>
      </c>
      <c r="M184" s="2">
        <v>0.17</v>
      </c>
      <c r="N184" s="2">
        <v>0.62</v>
      </c>
      <c r="O184" s="2">
        <v>0</v>
      </c>
      <c r="P184" s="2">
        <v>0</v>
      </c>
      <c r="Q184">
        <f t="shared" si="8"/>
        <v>25643.548387096773</v>
      </c>
      <c r="R184">
        <f t="shared" ca="1" si="9"/>
        <v>57</v>
      </c>
      <c r="S184" s="2">
        <f t="shared" si="10"/>
        <v>-15899</v>
      </c>
      <c r="T184" s="18">
        <v>0.1</v>
      </c>
      <c r="U184">
        <f t="shared" si="11"/>
        <v>-17488.900000000001</v>
      </c>
    </row>
    <row r="185" spans="1:21" x14ac:dyDescent="0.3">
      <c r="A185" t="s">
        <v>412</v>
      </c>
      <c r="B185" s="1">
        <v>44542</v>
      </c>
      <c r="C185" t="s">
        <v>413</v>
      </c>
      <c r="D185" s="3" t="s">
        <v>72</v>
      </c>
      <c r="E185" s="2">
        <v>16934</v>
      </c>
      <c r="F185" s="2">
        <v>19.8</v>
      </c>
      <c r="G185" s="4">
        <v>60</v>
      </c>
      <c r="H185" t="s">
        <v>19</v>
      </c>
      <c r="I185" t="s">
        <v>27</v>
      </c>
      <c r="J185" t="s">
        <v>32</v>
      </c>
      <c r="K185" s="2">
        <v>52867</v>
      </c>
      <c r="L185" t="s">
        <v>22</v>
      </c>
      <c r="M185" s="2">
        <v>0.43</v>
      </c>
      <c r="N185" s="2">
        <v>0.87</v>
      </c>
      <c r="O185" s="2">
        <v>20286.93</v>
      </c>
      <c r="P185" s="2">
        <v>0</v>
      </c>
      <c r="Q185">
        <f t="shared" si="8"/>
        <v>19464.367816091955</v>
      </c>
      <c r="R185">
        <f t="shared" ca="1" si="9"/>
        <v>51</v>
      </c>
      <c r="S185" s="2">
        <f t="shared" si="10"/>
        <v>3352.9300000000003</v>
      </c>
      <c r="T185" s="18">
        <v>0.1</v>
      </c>
      <c r="U185">
        <f t="shared" si="11"/>
        <v>3688.2230000000004</v>
      </c>
    </row>
    <row r="186" spans="1:21" x14ac:dyDescent="0.3">
      <c r="A186" t="s">
        <v>414</v>
      </c>
      <c r="B186" s="1">
        <v>44820</v>
      </c>
      <c r="C186" t="s">
        <v>415</v>
      </c>
      <c r="D186" s="3" t="s">
        <v>65</v>
      </c>
      <c r="E186" s="2">
        <v>39197</v>
      </c>
      <c r="F186" s="2">
        <v>24</v>
      </c>
      <c r="G186" s="4">
        <v>36</v>
      </c>
      <c r="H186" t="s">
        <v>19</v>
      </c>
      <c r="I186" t="s">
        <v>20</v>
      </c>
      <c r="J186" t="s">
        <v>47</v>
      </c>
      <c r="K186" s="2">
        <v>30203</v>
      </c>
      <c r="L186" t="s">
        <v>33</v>
      </c>
      <c r="M186" s="2">
        <v>0.33</v>
      </c>
      <c r="N186" s="2">
        <v>0.83</v>
      </c>
      <c r="O186" s="2">
        <v>48604.28</v>
      </c>
      <c r="P186" s="2">
        <v>0</v>
      </c>
      <c r="Q186">
        <f t="shared" si="8"/>
        <v>47225.301204819276</v>
      </c>
      <c r="R186">
        <f t="shared" ca="1" si="9"/>
        <v>42</v>
      </c>
      <c r="S186" s="2">
        <f t="shared" si="10"/>
        <v>9407.2799999999988</v>
      </c>
      <c r="T186" s="18">
        <v>0.1</v>
      </c>
      <c r="U186">
        <f t="shared" si="11"/>
        <v>10348.008</v>
      </c>
    </row>
    <row r="187" spans="1:21" x14ac:dyDescent="0.3">
      <c r="A187" t="s">
        <v>416</v>
      </c>
      <c r="B187" s="1">
        <v>45213</v>
      </c>
      <c r="C187" t="s">
        <v>417</v>
      </c>
      <c r="D187" s="3" t="s">
        <v>53</v>
      </c>
      <c r="E187" s="2">
        <v>37332</v>
      </c>
      <c r="F187" s="2">
        <v>9.1</v>
      </c>
      <c r="G187" s="4">
        <v>36</v>
      </c>
      <c r="H187" t="s">
        <v>19</v>
      </c>
      <c r="I187" t="s">
        <v>57</v>
      </c>
      <c r="J187" t="s">
        <v>32</v>
      </c>
      <c r="K187" s="2">
        <v>46544</v>
      </c>
      <c r="L187" t="s">
        <v>33</v>
      </c>
      <c r="M187" s="2">
        <v>0.24</v>
      </c>
      <c r="N187" s="2">
        <v>0.86</v>
      </c>
      <c r="O187" s="2">
        <v>40729.21</v>
      </c>
      <c r="P187" s="2">
        <v>0</v>
      </c>
      <c r="Q187">
        <f t="shared" si="8"/>
        <v>43409.302325581397</v>
      </c>
      <c r="R187">
        <f t="shared" ca="1" si="9"/>
        <v>29</v>
      </c>
      <c r="S187" s="2">
        <f t="shared" si="10"/>
        <v>3397.2099999999991</v>
      </c>
      <c r="T187" s="18">
        <v>0.1</v>
      </c>
      <c r="U187">
        <f t="shared" si="11"/>
        <v>3736.9309999999991</v>
      </c>
    </row>
    <row r="188" spans="1:21" x14ac:dyDescent="0.3">
      <c r="A188" t="s">
        <v>418</v>
      </c>
      <c r="B188" s="1">
        <v>45077</v>
      </c>
      <c r="C188" t="s">
        <v>419</v>
      </c>
      <c r="D188" s="3" t="s">
        <v>46</v>
      </c>
      <c r="E188" s="2">
        <v>35157</v>
      </c>
      <c r="F188" s="2">
        <v>16.3</v>
      </c>
      <c r="G188" s="4">
        <v>60</v>
      </c>
      <c r="H188" t="s">
        <v>26</v>
      </c>
      <c r="I188" t="s">
        <v>84</v>
      </c>
      <c r="J188" t="s">
        <v>28</v>
      </c>
      <c r="K188" s="2">
        <v>45899</v>
      </c>
      <c r="L188" t="s">
        <v>33</v>
      </c>
      <c r="M188" s="2">
        <v>0.42</v>
      </c>
      <c r="N188" s="2">
        <v>0.55000000000000004</v>
      </c>
      <c r="O188" s="2">
        <v>12505.08</v>
      </c>
      <c r="P188" s="2">
        <v>0</v>
      </c>
      <c r="Q188">
        <f t="shared" si="8"/>
        <v>63921.818181818177</v>
      </c>
      <c r="R188">
        <f t="shared" ca="1" si="9"/>
        <v>33</v>
      </c>
      <c r="S188" s="2">
        <f t="shared" si="10"/>
        <v>-22651.919999999998</v>
      </c>
      <c r="T188" s="18">
        <v>0.1</v>
      </c>
      <c r="U188">
        <f t="shared" si="11"/>
        <v>-24917.112000000001</v>
      </c>
    </row>
    <row r="189" spans="1:21" x14ac:dyDescent="0.3">
      <c r="A189" t="s">
        <v>420</v>
      </c>
      <c r="B189" s="1">
        <v>44198</v>
      </c>
      <c r="C189" t="s">
        <v>421</v>
      </c>
      <c r="D189" s="3" t="s">
        <v>72</v>
      </c>
      <c r="E189" s="2">
        <v>12593</v>
      </c>
      <c r="F189" s="2">
        <v>24.6</v>
      </c>
      <c r="G189" s="4">
        <v>60</v>
      </c>
      <c r="H189" t="s">
        <v>26</v>
      </c>
      <c r="I189" t="s">
        <v>73</v>
      </c>
      <c r="J189" t="s">
        <v>21</v>
      </c>
      <c r="K189" s="2">
        <v>59063</v>
      </c>
      <c r="L189" t="s">
        <v>22</v>
      </c>
      <c r="M189" s="2">
        <v>0.2</v>
      </c>
      <c r="N189" s="2">
        <v>0.56000000000000005</v>
      </c>
      <c r="O189" s="2">
        <v>3295.91</v>
      </c>
      <c r="P189" s="2">
        <v>0</v>
      </c>
      <c r="Q189">
        <f t="shared" si="8"/>
        <v>22487.499999999996</v>
      </c>
      <c r="R189">
        <f t="shared" ca="1" si="9"/>
        <v>62</v>
      </c>
      <c r="S189" s="2">
        <f t="shared" si="10"/>
        <v>-9297.09</v>
      </c>
      <c r="T189" s="18">
        <v>0.1</v>
      </c>
      <c r="U189">
        <f t="shared" si="11"/>
        <v>-10226.799000000001</v>
      </c>
    </row>
    <row r="190" spans="1:21" x14ac:dyDescent="0.3">
      <c r="A190" t="s">
        <v>422</v>
      </c>
      <c r="B190" s="1">
        <v>45093</v>
      </c>
      <c r="C190" t="s">
        <v>423</v>
      </c>
      <c r="D190" s="3" t="s">
        <v>40</v>
      </c>
      <c r="E190" s="2">
        <v>18320</v>
      </c>
      <c r="F190" s="2">
        <v>8.3000000000000007</v>
      </c>
      <c r="G190" s="4">
        <v>36</v>
      </c>
      <c r="H190" t="s">
        <v>19</v>
      </c>
      <c r="I190" t="s">
        <v>27</v>
      </c>
      <c r="J190" t="s">
        <v>37</v>
      </c>
      <c r="K190" s="2">
        <v>120880</v>
      </c>
      <c r="L190" t="s">
        <v>33</v>
      </c>
      <c r="M190" s="2">
        <v>0.49</v>
      </c>
      <c r="N190" s="2">
        <v>0.63</v>
      </c>
      <c r="O190" s="2">
        <v>19840.560000000001</v>
      </c>
      <c r="P190" s="2">
        <v>0</v>
      </c>
      <c r="Q190">
        <f t="shared" si="8"/>
        <v>29079.365079365078</v>
      </c>
      <c r="R190">
        <f t="shared" ca="1" si="9"/>
        <v>33</v>
      </c>
      <c r="S190" s="2">
        <f t="shared" si="10"/>
        <v>1520.5600000000013</v>
      </c>
      <c r="T190" s="18">
        <v>0.1</v>
      </c>
      <c r="U190">
        <f t="shared" si="11"/>
        <v>1672.6160000000016</v>
      </c>
    </row>
    <row r="191" spans="1:21" x14ac:dyDescent="0.3">
      <c r="A191" t="s">
        <v>424</v>
      </c>
      <c r="B191" s="1">
        <v>44450</v>
      </c>
      <c r="C191" t="s">
        <v>425</v>
      </c>
      <c r="D191" s="3" t="s">
        <v>18</v>
      </c>
      <c r="E191" s="2">
        <v>28376</v>
      </c>
      <c r="F191" s="2">
        <v>19</v>
      </c>
      <c r="G191" s="4">
        <v>60</v>
      </c>
      <c r="H191" t="s">
        <v>19</v>
      </c>
      <c r="I191" t="s">
        <v>57</v>
      </c>
      <c r="J191" t="s">
        <v>47</v>
      </c>
      <c r="K191" s="2">
        <v>33748</v>
      </c>
      <c r="L191" t="s">
        <v>22</v>
      </c>
      <c r="M191" s="2">
        <v>0.24</v>
      </c>
      <c r="N191" s="2">
        <v>0.73</v>
      </c>
      <c r="O191" s="2">
        <v>33767.440000000002</v>
      </c>
      <c r="P191" s="2">
        <v>0</v>
      </c>
      <c r="Q191">
        <f t="shared" si="8"/>
        <v>38871.232876712333</v>
      </c>
      <c r="R191">
        <f t="shared" ca="1" si="9"/>
        <v>54</v>
      </c>
      <c r="S191" s="2">
        <f t="shared" si="10"/>
        <v>5391.4400000000023</v>
      </c>
      <c r="T191" s="18">
        <v>0.1</v>
      </c>
      <c r="U191">
        <f t="shared" si="11"/>
        <v>5930.5840000000035</v>
      </c>
    </row>
    <row r="192" spans="1:21" x14ac:dyDescent="0.3">
      <c r="A192" t="s">
        <v>426</v>
      </c>
      <c r="B192" s="1">
        <v>44649</v>
      </c>
      <c r="C192" t="s">
        <v>427</v>
      </c>
      <c r="D192" s="3" t="s">
        <v>76</v>
      </c>
      <c r="E192" s="2">
        <v>15199</v>
      </c>
      <c r="F192" s="2">
        <v>16.7</v>
      </c>
      <c r="G192" s="4">
        <v>60</v>
      </c>
      <c r="H192" t="s">
        <v>26</v>
      </c>
      <c r="I192" t="s">
        <v>57</v>
      </c>
      <c r="J192" t="s">
        <v>21</v>
      </c>
      <c r="K192" s="2">
        <v>135022</v>
      </c>
      <c r="L192" t="s">
        <v>33</v>
      </c>
      <c r="M192" s="2">
        <v>0.23</v>
      </c>
      <c r="N192" s="2">
        <v>0.84</v>
      </c>
      <c r="O192" s="2">
        <v>3413</v>
      </c>
      <c r="P192" s="2">
        <v>0</v>
      </c>
      <c r="Q192">
        <f t="shared" si="8"/>
        <v>18094.047619047618</v>
      </c>
      <c r="R192">
        <f t="shared" ca="1" si="9"/>
        <v>47</v>
      </c>
      <c r="S192" s="2">
        <f t="shared" si="10"/>
        <v>-11786</v>
      </c>
      <c r="T192" s="18">
        <v>0.1</v>
      </c>
      <c r="U192">
        <f t="shared" si="11"/>
        <v>-12964.6</v>
      </c>
    </row>
    <row r="193" spans="1:21" x14ac:dyDescent="0.3">
      <c r="A193" t="s">
        <v>428</v>
      </c>
      <c r="B193" s="1">
        <v>45257</v>
      </c>
      <c r="C193" t="s">
        <v>429</v>
      </c>
      <c r="D193" s="3" t="s">
        <v>53</v>
      </c>
      <c r="E193" s="2">
        <v>16876</v>
      </c>
      <c r="F193" s="2">
        <v>16.7</v>
      </c>
      <c r="G193" s="4">
        <v>36</v>
      </c>
      <c r="H193" t="s">
        <v>26</v>
      </c>
      <c r="I193" t="s">
        <v>41</v>
      </c>
      <c r="J193" t="s">
        <v>32</v>
      </c>
      <c r="K193" s="2">
        <v>147269</v>
      </c>
      <c r="L193" t="s">
        <v>29</v>
      </c>
      <c r="M193" s="2">
        <v>0.22</v>
      </c>
      <c r="N193" s="2">
        <v>0.88</v>
      </c>
      <c r="O193" s="2">
        <v>3698.91</v>
      </c>
      <c r="P193" s="2">
        <v>0</v>
      </c>
      <c r="Q193">
        <f t="shared" si="8"/>
        <v>19177.272727272728</v>
      </c>
      <c r="R193">
        <f t="shared" ca="1" si="9"/>
        <v>27</v>
      </c>
      <c r="S193" s="2">
        <f t="shared" si="10"/>
        <v>-13177.09</v>
      </c>
      <c r="T193" s="18">
        <v>0.1</v>
      </c>
      <c r="U193">
        <f t="shared" si="11"/>
        <v>-14494.799000000001</v>
      </c>
    </row>
    <row r="194" spans="1:21" x14ac:dyDescent="0.3">
      <c r="A194" t="s">
        <v>430</v>
      </c>
      <c r="B194" s="1">
        <v>45211</v>
      </c>
      <c r="C194" t="s">
        <v>431</v>
      </c>
      <c r="D194" s="3" t="s">
        <v>25</v>
      </c>
      <c r="E194" s="2">
        <v>9245</v>
      </c>
      <c r="F194" s="2">
        <v>19</v>
      </c>
      <c r="G194" s="4">
        <v>60</v>
      </c>
      <c r="H194" t="s">
        <v>60</v>
      </c>
      <c r="I194" t="s">
        <v>20</v>
      </c>
      <c r="J194" t="s">
        <v>28</v>
      </c>
      <c r="K194" s="2">
        <v>96629</v>
      </c>
      <c r="L194" t="s">
        <v>22</v>
      </c>
      <c r="M194" s="2">
        <v>0.15</v>
      </c>
      <c r="N194" s="2">
        <v>0.82</v>
      </c>
      <c r="O194" s="2">
        <v>0</v>
      </c>
      <c r="P194" s="2">
        <v>0</v>
      </c>
      <c r="Q194">
        <f t="shared" si="8"/>
        <v>11274.39024390244</v>
      </c>
      <c r="R194">
        <f t="shared" ca="1" si="9"/>
        <v>29</v>
      </c>
      <c r="S194" s="2">
        <f t="shared" si="10"/>
        <v>-9245</v>
      </c>
      <c r="T194" s="18">
        <v>0.1</v>
      </c>
      <c r="U194">
        <f t="shared" si="11"/>
        <v>-10169.5</v>
      </c>
    </row>
    <row r="195" spans="1:21" x14ac:dyDescent="0.3">
      <c r="A195" t="s">
        <v>432</v>
      </c>
      <c r="B195" s="1">
        <v>44205</v>
      </c>
      <c r="C195" t="s">
        <v>433</v>
      </c>
      <c r="D195" s="3" t="s">
        <v>18</v>
      </c>
      <c r="E195" s="2">
        <v>8214</v>
      </c>
      <c r="F195" s="2">
        <v>23.6</v>
      </c>
      <c r="G195" s="4">
        <v>60</v>
      </c>
      <c r="H195" t="s">
        <v>26</v>
      </c>
      <c r="I195" t="s">
        <v>73</v>
      </c>
      <c r="J195" t="s">
        <v>32</v>
      </c>
      <c r="K195" s="2">
        <v>110764</v>
      </c>
      <c r="L195" t="s">
        <v>29</v>
      </c>
      <c r="M195" s="2">
        <v>0.14000000000000001</v>
      </c>
      <c r="N195" s="2">
        <v>0.92</v>
      </c>
      <c r="O195" s="2">
        <v>2776.51</v>
      </c>
      <c r="P195" s="2">
        <v>0</v>
      </c>
      <c r="Q195">
        <f t="shared" ref="Q195:Q258" si="12">E195/N195</f>
        <v>8928.2608695652161</v>
      </c>
      <c r="R195">
        <f t="shared" ref="R195:R258" ca="1" si="13">DATEDIF(B195, TODAY(), "M")</f>
        <v>62</v>
      </c>
      <c r="S195" s="2">
        <f t="shared" ref="S195:S258" si="14">(O195+P195)-E195</f>
        <v>-5437.49</v>
      </c>
      <c r="T195" s="18">
        <v>0.1</v>
      </c>
      <c r="U195">
        <f t="shared" ref="U195:U258" si="15">S195*(1+T195)</f>
        <v>-5981.2390000000005</v>
      </c>
    </row>
    <row r="196" spans="1:21" x14ac:dyDescent="0.3">
      <c r="A196" t="s">
        <v>434</v>
      </c>
      <c r="B196" s="1">
        <v>45012</v>
      </c>
      <c r="C196" t="s">
        <v>435</v>
      </c>
      <c r="D196" s="3" t="s">
        <v>56</v>
      </c>
      <c r="E196" s="2">
        <v>1726</v>
      </c>
      <c r="F196" s="2">
        <v>20.7</v>
      </c>
      <c r="G196" s="4">
        <v>36</v>
      </c>
      <c r="H196" t="s">
        <v>26</v>
      </c>
      <c r="I196" t="s">
        <v>84</v>
      </c>
      <c r="J196" t="s">
        <v>21</v>
      </c>
      <c r="K196" s="2">
        <v>50884</v>
      </c>
      <c r="L196" t="s">
        <v>22</v>
      </c>
      <c r="M196" s="2">
        <v>0.36</v>
      </c>
      <c r="N196" s="2">
        <v>0.83</v>
      </c>
      <c r="O196" s="2">
        <v>470.61</v>
      </c>
      <c r="P196" s="2">
        <v>0</v>
      </c>
      <c r="Q196">
        <f t="shared" si="12"/>
        <v>2079.5180722891569</v>
      </c>
      <c r="R196">
        <f t="shared" ca="1" si="13"/>
        <v>35</v>
      </c>
      <c r="S196" s="2">
        <f t="shared" si="14"/>
        <v>-1255.3899999999999</v>
      </c>
      <c r="T196" s="18">
        <v>0.1</v>
      </c>
      <c r="U196">
        <f t="shared" si="15"/>
        <v>-1380.9289999999999</v>
      </c>
    </row>
    <row r="197" spans="1:21" x14ac:dyDescent="0.3">
      <c r="A197" t="s">
        <v>436</v>
      </c>
      <c r="B197" s="1">
        <v>44404</v>
      </c>
      <c r="C197" t="s">
        <v>437</v>
      </c>
      <c r="D197" s="3" t="s">
        <v>50</v>
      </c>
      <c r="E197" s="2">
        <v>12362</v>
      </c>
      <c r="F197" s="2">
        <v>6.1</v>
      </c>
      <c r="G197" s="4">
        <v>36</v>
      </c>
      <c r="H197" t="s">
        <v>19</v>
      </c>
      <c r="I197" t="s">
        <v>20</v>
      </c>
      <c r="J197" t="s">
        <v>47</v>
      </c>
      <c r="K197" s="2">
        <v>55183</v>
      </c>
      <c r="L197" t="s">
        <v>33</v>
      </c>
      <c r="M197" s="2">
        <v>0.45</v>
      </c>
      <c r="N197" s="2">
        <v>0.64</v>
      </c>
      <c r="O197" s="2">
        <v>13116.08</v>
      </c>
      <c r="P197" s="2">
        <v>0</v>
      </c>
      <c r="Q197">
        <f t="shared" si="12"/>
        <v>19315.625</v>
      </c>
      <c r="R197">
        <f t="shared" ca="1" si="13"/>
        <v>55</v>
      </c>
      <c r="S197" s="2">
        <f t="shared" si="14"/>
        <v>754.07999999999993</v>
      </c>
      <c r="T197" s="18">
        <v>0.1</v>
      </c>
      <c r="U197">
        <f t="shared" si="15"/>
        <v>829.48799999999994</v>
      </c>
    </row>
    <row r="198" spans="1:21" x14ac:dyDescent="0.3">
      <c r="A198" t="s">
        <v>438</v>
      </c>
      <c r="B198" s="1">
        <v>44600</v>
      </c>
      <c r="C198" t="s">
        <v>439</v>
      </c>
      <c r="D198" s="3" t="s">
        <v>56</v>
      </c>
      <c r="E198" s="2">
        <v>19297</v>
      </c>
      <c r="F198" s="2">
        <v>22.1</v>
      </c>
      <c r="G198" s="4">
        <v>60</v>
      </c>
      <c r="H198" t="s">
        <v>19</v>
      </c>
      <c r="I198" t="s">
        <v>57</v>
      </c>
      <c r="J198" t="s">
        <v>37</v>
      </c>
      <c r="K198" s="2">
        <v>111570</v>
      </c>
      <c r="L198" t="s">
        <v>33</v>
      </c>
      <c r="M198" s="2">
        <v>0.42</v>
      </c>
      <c r="N198" s="2">
        <v>0.62</v>
      </c>
      <c r="O198" s="2">
        <v>23561.64</v>
      </c>
      <c r="P198" s="2">
        <v>0</v>
      </c>
      <c r="Q198">
        <f t="shared" si="12"/>
        <v>31124.193548387098</v>
      </c>
      <c r="R198">
        <f t="shared" ca="1" si="13"/>
        <v>49</v>
      </c>
      <c r="S198" s="2">
        <f t="shared" si="14"/>
        <v>4264.6399999999994</v>
      </c>
      <c r="T198" s="18">
        <v>0.1</v>
      </c>
      <c r="U198">
        <f t="shared" si="15"/>
        <v>4691.1039999999994</v>
      </c>
    </row>
    <row r="199" spans="1:21" x14ac:dyDescent="0.3">
      <c r="A199" t="s">
        <v>440</v>
      </c>
      <c r="B199" s="1">
        <v>44348</v>
      </c>
      <c r="C199" t="s">
        <v>441</v>
      </c>
      <c r="D199" s="3" t="s">
        <v>56</v>
      </c>
      <c r="E199" s="2">
        <v>31448</v>
      </c>
      <c r="F199" s="2">
        <v>9.5</v>
      </c>
      <c r="G199" s="4">
        <v>36</v>
      </c>
      <c r="H199" t="s">
        <v>19</v>
      </c>
      <c r="I199" t="s">
        <v>73</v>
      </c>
      <c r="J199" t="s">
        <v>21</v>
      </c>
      <c r="K199" s="2">
        <v>101246</v>
      </c>
      <c r="L199" t="s">
        <v>29</v>
      </c>
      <c r="M199" s="2">
        <v>0.16</v>
      </c>
      <c r="N199" s="2">
        <v>0.81</v>
      </c>
      <c r="O199" s="2">
        <v>34435.56</v>
      </c>
      <c r="P199" s="2">
        <v>0</v>
      </c>
      <c r="Q199">
        <f t="shared" si="12"/>
        <v>38824.691358024691</v>
      </c>
      <c r="R199">
        <f t="shared" ca="1" si="13"/>
        <v>57</v>
      </c>
      <c r="S199" s="2">
        <f t="shared" si="14"/>
        <v>2987.5599999999977</v>
      </c>
      <c r="T199" s="18">
        <v>0.1</v>
      </c>
      <c r="U199">
        <f t="shared" si="15"/>
        <v>3286.3159999999975</v>
      </c>
    </row>
    <row r="200" spans="1:21" x14ac:dyDescent="0.3">
      <c r="A200" t="s">
        <v>442</v>
      </c>
      <c r="B200" s="1">
        <v>44250</v>
      </c>
      <c r="C200" t="s">
        <v>443</v>
      </c>
      <c r="D200" s="3" t="s">
        <v>40</v>
      </c>
      <c r="E200" s="2">
        <v>27172</v>
      </c>
      <c r="F200" s="2">
        <v>12.5</v>
      </c>
      <c r="G200" s="4">
        <v>60</v>
      </c>
      <c r="H200" t="s">
        <v>26</v>
      </c>
      <c r="I200" t="s">
        <v>73</v>
      </c>
      <c r="J200" t="s">
        <v>47</v>
      </c>
      <c r="K200" s="2">
        <v>138036</v>
      </c>
      <c r="L200" t="s">
        <v>33</v>
      </c>
      <c r="M200" s="2">
        <v>0.32</v>
      </c>
      <c r="N200" s="2">
        <v>0.59</v>
      </c>
      <c r="O200" s="2">
        <v>11741.28</v>
      </c>
      <c r="P200" s="2">
        <v>0</v>
      </c>
      <c r="Q200">
        <f t="shared" si="12"/>
        <v>46054.237288135599</v>
      </c>
      <c r="R200">
        <f t="shared" ca="1" si="13"/>
        <v>60</v>
      </c>
      <c r="S200" s="2">
        <f t="shared" si="14"/>
        <v>-15430.72</v>
      </c>
      <c r="T200" s="18">
        <v>0.1</v>
      </c>
      <c r="U200">
        <f t="shared" si="15"/>
        <v>-16973.792000000001</v>
      </c>
    </row>
    <row r="201" spans="1:21" x14ac:dyDescent="0.3">
      <c r="A201" t="s">
        <v>444</v>
      </c>
      <c r="B201" s="1">
        <v>44824</v>
      </c>
      <c r="C201" t="s">
        <v>445</v>
      </c>
      <c r="D201" s="3" t="s">
        <v>65</v>
      </c>
      <c r="E201" s="2">
        <v>8657</v>
      </c>
      <c r="F201" s="2">
        <v>14.2</v>
      </c>
      <c r="G201" s="4">
        <v>36</v>
      </c>
      <c r="H201" t="s">
        <v>26</v>
      </c>
      <c r="I201" t="s">
        <v>73</v>
      </c>
      <c r="J201" t="s">
        <v>21</v>
      </c>
      <c r="K201" s="2">
        <v>49259</v>
      </c>
      <c r="L201" t="s">
        <v>22</v>
      </c>
      <c r="M201" s="2">
        <v>0.14000000000000001</v>
      </c>
      <c r="N201" s="2">
        <v>0.54</v>
      </c>
      <c r="O201" s="2">
        <v>3840.38</v>
      </c>
      <c r="P201" s="2">
        <v>0</v>
      </c>
      <c r="Q201">
        <f t="shared" si="12"/>
        <v>16031.48148148148</v>
      </c>
      <c r="R201">
        <f t="shared" ca="1" si="13"/>
        <v>41</v>
      </c>
      <c r="S201" s="2">
        <f t="shared" si="14"/>
        <v>-4816.62</v>
      </c>
      <c r="T201" s="18">
        <v>0.1</v>
      </c>
      <c r="U201">
        <f t="shared" si="15"/>
        <v>-5298.2820000000002</v>
      </c>
    </row>
    <row r="202" spans="1:21" x14ac:dyDescent="0.3">
      <c r="A202" t="s">
        <v>446</v>
      </c>
      <c r="B202" s="1">
        <v>44783</v>
      </c>
      <c r="C202" t="s">
        <v>447</v>
      </c>
      <c r="D202" s="3" t="s">
        <v>76</v>
      </c>
      <c r="E202" s="2">
        <v>19850</v>
      </c>
      <c r="F202" s="2">
        <v>14.6</v>
      </c>
      <c r="G202" s="4">
        <v>60</v>
      </c>
      <c r="H202" t="s">
        <v>19</v>
      </c>
      <c r="I202" t="s">
        <v>57</v>
      </c>
      <c r="J202" t="s">
        <v>28</v>
      </c>
      <c r="K202" s="2">
        <v>65959</v>
      </c>
      <c r="L202" t="s">
        <v>33</v>
      </c>
      <c r="M202" s="2">
        <v>0.12</v>
      </c>
      <c r="N202" s="2">
        <v>0.74</v>
      </c>
      <c r="O202" s="2">
        <v>22748.1</v>
      </c>
      <c r="P202" s="2">
        <v>0</v>
      </c>
      <c r="Q202">
        <f t="shared" si="12"/>
        <v>26824.324324324323</v>
      </c>
      <c r="R202">
        <f t="shared" ca="1" si="13"/>
        <v>43</v>
      </c>
      <c r="S202" s="2">
        <f t="shared" si="14"/>
        <v>2898.0999999999985</v>
      </c>
      <c r="T202" s="18">
        <v>0.1</v>
      </c>
      <c r="U202">
        <f t="shared" si="15"/>
        <v>3187.9099999999985</v>
      </c>
    </row>
    <row r="203" spans="1:21" x14ac:dyDescent="0.3">
      <c r="A203" t="s">
        <v>448</v>
      </c>
      <c r="B203" s="1">
        <v>44300</v>
      </c>
      <c r="C203" t="s">
        <v>449</v>
      </c>
      <c r="D203" s="3" t="s">
        <v>53</v>
      </c>
      <c r="E203" s="2">
        <v>26425</v>
      </c>
      <c r="F203" s="2">
        <v>13.7</v>
      </c>
      <c r="G203" s="4">
        <v>36</v>
      </c>
      <c r="H203" t="s">
        <v>19</v>
      </c>
      <c r="I203" t="s">
        <v>73</v>
      </c>
      <c r="J203" t="s">
        <v>32</v>
      </c>
      <c r="K203" s="2">
        <v>146525</v>
      </c>
      <c r="L203" t="s">
        <v>33</v>
      </c>
      <c r="M203" s="2">
        <v>0.36</v>
      </c>
      <c r="N203" s="2">
        <v>0.87</v>
      </c>
      <c r="O203" s="2">
        <v>30045.22</v>
      </c>
      <c r="P203" s="2">
        <v>0</v>
      </c>
      <c r="Q203">
        <f t="shared" si="12"/>
        <v>30373.563218390806</v>
      </c>
      <c r="R203">
        <f t="shared" ca="1" si="13"/>
        <v>59</v>
      </c>
      <c r="S203" s="2">
        <f t="shared" si="14"/>
        <v>3620.2200000000012</v>
      </c>
      <c r="T203" s="18">
        <v>0.1</v>
      </c>
      <c r="U203">
        <f t="shared" si="15"/>
        <v>3982.2420000000016</v>
      </c>
    </row>
    <row r="204" spans="1:21" x14ac:dyDescent="0.3">
      <c r="A204" t="s">
        <v>450</v>
      </c>
      <c r="B204" s="1">
        <v>44450</v>
      </c>
      <c r="C204" t="s">
        <v>451</v>
      </c>
      <c r="D204" s="3" t="s">
        <v>65</v>
      </c>
      <c r="E204" s="2">
        <v>27685</v>
      </c>
      <c r="F204" s="2">
        <v>23.7</v>
      </c>
      <c r="G204" s="4">
        <v>60</v>
      </c>
      <c r="H204" t="s">
        <v>19</v>
      </c>
      <c r="I204" t="s">
        <v>73</v>
      </c>
      <c r="J204" t="s">
        <v>37</v>
      </c>
      <c r="K204" s="2">
        <v>63457</v>
      </c>
      <c r="L204" t="s">
        <v>22</v>
      </c>
      <c r="M204" s="2">
        <v>0.31</v>
      </c>
      <c r="N204" s="2">
        <v>0.55000000000000004</v>
      </c>
      <c r="O204" s="2">
        <v>34246.339999999997</v>
      </c>
      <c r="P204" s="2">
        <v>0</v>
      </c>
      <c r="Q204">
        <f t="shared" si="12"/>
        <v>50336.363636363632</v>
      </c>
      <c r="R204">
        <f t="shared" ca="1" si="13"/>
        <v>54</v>
      </c>
      <c r="S204" s="2">
        <f t="shared" si="14"/>
        <v>6561.3399999999965</v>
      </c>
      <c r="T204" s="18">
        <v>0.1</v>
      </c>
      <c r="U204">
        <f t="shared" si="15"/>
        <v>7217.4739999999965</v>
      </c>
    </row>
    <row r="205" spans="1:21" x14ac:dyDescent="0.3">
      <c r="A205" t="s">
        <v>452</v>
      </c>
      <c r="B205" s="1">
        <v>44706</v>
      </c>
      <c r="C205" t="s">
        <v>453</v>
      </c>
      <c r="D205" s="3" t="s">
        <v>18</v>
      </c>
      <c r="E205" s="2">
        <v>25578</v>
      </c>
      <c r="F205" s="2">
        <v>19.100000000000001</v>
      </c>
      <c r="G205" s="4">
        <v>60</v>
      </c>
      <c r="H205" t="s">
        <v>81</v>
      </c>
      <c r="I205" t="s">
        <v>27</v>
      </c>
      <c r="J205" t="s">
        <v>47</v>
      </c>
      <c r="K205" s="2">
        <v>115679</v>
      </c>
      <c r="L205" t="s">
        <v>29</v>
      </c>
      <c r="M205" s="2">
        <v>0.13</v>
      </c>
      <c r="N205" s="2">
        <v>0.86</v>
      </c>
      <c r="O205" s="2">
        <v>3866.58</v>
      </c>
      <c r="P205" s="2">
        <v>7371.47</v>
      </c>
      <c r="Q205">
        <f t="shared" si="12"/>
        <v>29741.860465116279</v>
      </c>
      <c r="R205">
        <f t="shared" ca="1" si="13"/>
        <v>45</v>
      </c>
      <c r="S205" s="2">
        <f t="shared" si="14"/>
        <v>-14339.95</v>
      </c>
      <c r="T205" s="18">
        <v>0.1</v>
      </c>
      <c r="U205">
        <f t="shared" si="15"/>
        <v>-15773.945000000002</v>
      </c>
    </row>
    <row r="206" spans="1:21" x14ac:dyDescent="0.3">
      <c r="A206" t="s">
        <v>454</v>
      </c>
      <c r="B206" s="1">
        <v>44295</v>
      </c>
      <c r="C206" t="s">
        <v>455</v>
      </c>
      <c r="D206" s="3" t="s">
        <v>56</v>
      </c>
      <c r="E206" s="2">
        <v>29831</v>
      </c>
      <c r="F206" s="2">
        <v>17.600000000000001</v>
      </c>
      <c r="G206" s="4">
        <v>60</v>
      </c>
      <c r="H206" t="s">
        <v>26</v>
      </c>
      <c r="I206" t="s">
        <v>20</v>
      </c>
      <c r="J206" t="s">
        <v>37</v>
      </c>
      <c r="K206" s="2">
        <v>32103</v>
      </c>
      <c r="L206" t="s">
        <v>29</v>
      </c>
      <c r="M206" s="2">
        <v>0.11</v>
      </c>
      <c r="N206" s="2">
        <v>0.87</v>
      </c>
      <c r="O206" s="2">
        <v>3320.34</v>
      </c>
      <c r="P206" s="2">
        <v>0</v>
      </c>
      <c r="Q206">
        <f t="shared" si="12"/>
        <v>34288.505747126437</v>
      </c>
      <c r="R206">
        <f t="shared" ca="1" si="13"/>
        <v>59</v>
      </c>
      <c r="S206" s="2">
        <f t="shared" si="14"/>
        <v>-26510.66</v>
      </c>
      <c r="T206" s="18">
        <v>0.1</v>
      </c>
      <c r="U206">
        <f t="shared" si="15"/>
        <v>-29161.726000000002</v>
      </c>
    </row>
    <row r="207" spans="1:21" x14ac:dyDescent="0.3">
      <c r="A207" t="s">
        <v>456</v>
      </c>
      <c r="B207" s="1">
        <v>44349</v>
      </c>
      <c r="C207" t="s">
        <v>457</v>
      </c>
      <c r="D207" s="3" t="s">
        <v>40</v>
      </c>
      <c r="E207" s="2">
        <v>8906</v>
      </c>
      <c r="F207" s="2">
        <v>6</v>
      </c>
      <c r="G207" s="4">
        <v>36</v>
      </c>
      <c r="H207" t="s">
        <v>26</v>
      </c>
      <c r="I207" t="s">
        <v>27</v>
      </c>
      <c r="J207" t="s">
        <v>37</v>
      </c>
      <c r="K207" s="2">
        <v>95901</v>
      </c>
      <c r="L207" t="s">
        <v>33</v>
      </c>
      <c r="M207" s="2">
        <v>0.5</v>
      </c>
      <c r="N207" s="2">
        <v>0.72</v>
      </c>
      <c r="O207" s="2">
        <v>2971.76</v>
      </c>
      <c r="P207" s="2">
        <v>0</v>
      </c>
      <c r="Q207">
        <f t="shared" si="12"/>
        <v>12369.444444444445</v>
      </c>
      <c r="R207">
        <f t="shared" ca="1" si="13"/>
        <v>57</v>
      </c>
      <c r="S207" s="2">
        <f t="shared" si="14"/>
        <v>-5934.24</v>
      </c>
      <c r="T207" s="18">
        <v>0.1</v>
      </c>
      <c r="U207">
        <f t="shared" si="15"/>
        <v>-6527.6640000000007</v>
      </c>
    </row>
    <row r="208" spans="1:21" x14ac:dyDescent="0.3">
      <c r="A208" t="s">
        <v>458</v>
      </c>
      <c r="B208" s="1">
        <v>45110</v>
      </c>
      <c r="C208" t="s">
        <v>459</v>
      </c>
      <c r="D208" s="3" t="s">
        <v>18</v>
      </c>
      <c r="E208" s="2">
        <v>8287</v>
      </c>
      <c r="F208" s="2">
        <v>23.1</v>
      </c>
      <c r="G208" s="4">
        <v>36</v>
      </c>
      <c r="H208" t="s">
        <v>26</v>
      </c>
      <c r="I208" t="s">
        <v>36</v>
      </c>
      <c r="J208" t="s">
        <v>37</v>
      </c>
      <c r="K208" s="2">
        <v>142314</v>
      </c>
      <c r="L208" t="s">
        <v>22</v>
      </c>
      <c r="M208" s="2">
        <v>0.11</v>
      </c>
      <c r="N208" s="2">
        <v>0.53</v>
      </c>
      <c r="O208" s="2">
        <v>1537.67</v>
      </c>
      <c r="P208" s="2">
        <v>0</v>
      </c>
      <c r="Q208">
        <f t="shared" si="12"/>
        <v>15635.849056603773</v>
      </c>
      <c r="R208">
        <f t="shared" ca="1" si="13"/>
        <v>32</v>
      </c>
      <c r="S208" s="2">
        <f t="shared" si="14"/>
        <v>-6749.33</v>
      </c>
      <c r="T208" s="18">
        <v>0.1</v>
      </c>
      <c r="U208">
        <f t="shared" si="15"/>
        <v>-7424.2630000000008</v>
      </c>
    </row>
    <row r="209" spans="1:21" x14ac:dyDescent="0.3">
      <c r="A209" t="s">
        <v>460</v>
      </c>
      <c r="B209" s="1">
        <v>45074</v>
      </c>
      <c r="C209" t="s">
        <v>461</v>
      </c>
      <c r="D209" s="3" t="s">
        <v>50</v>
      </c>
      <c r="E209" s="2">
        <v>34660</v>
      </c>
      <c r="F209" s="2">
        <v>23.2</v>
      </c>
      <c r="G209" s="4">
        <v>60</v>
      </c>
      <c r="H209" t="s">
        <v>81</v>
      </c>
      <c r="I209" t="s">
        <v>73</v>
      </c>
      <c r="J209" t="s">
        <v>47</v>
      </c>
      <c r="K209" s="2">
        <v>74535</v>
      </c>
      <c r="L209" t="s">
        <v>29</v>
      </c>
      <c r="M209" s="2">
        <v>0.28000000000000003</v>
      </c>
      <c r="N209" s="2">
        <v>0.57999999999999996</v>
      </c>
      <c r="O209" s="2">
        <v>3659.1</v>
      </c>
      <c r="P209" s="2">
        <v>4720.7299999999996</v>
      </c>
      <c r="Q209">
        <f t="shared" si="12"/>
        <v>59758.620689655174</v>
      </c>
      <c r="R209">
        <f t="shared" ca="1" si="13"/>
        <v>33</v>
      </c>
      <c r="S209" s="2">
        <f t="shared" si="14"/>
        <v>-26280.17</v>
      </c>
      <c r="T209" s="18">
        <v>0.1</v>
      </c>
      <c r="U209">
        <f t="shared" si="15"/>
        <v>-28908.187000000002</v>
      </c>
    </row>
    <row r="210" spans="1:21" x14ac:dyDescent="0.3">
      <c r="A210" t="s">
        <v>462</v>
      </c>
      <c r="B210" s="1">
        <v>44534</v>
      </c>
      <c r="C210" t="s">
        <v>463</v>
      </c>
      <c r="D210" s="3" t="s">
        <v>76</v>
      </c>
      <c r="E210" s="2">
        <v>11222</v>
      </c>
      <c r="F210" s="2">
        <v>20.6</v>
      </c>
      <c r="G210" s="4">
        <v>60</v>
      </c>
      <c r="H210" t="s">
        <v>26</v>
      </c>
      <c r="I210" t="s">
        <v>27</v>
      </c>
      <c r="J210" t="s">
        <v>47</v>
      </c>
      <c r="K210" s="2">
        <v>46103</v>
      </c>
      <c r="L210" t="s">
        <v>29</v>
      </c>
      <c r="M210" s="2">
        <v>0.3</v>
      </c>
      <c r="N210" s="2">
        <v>0.82</v>
      </c>
      <c r="O210" s="2">
        <v>5048.66</v>
      </c>
      <c r="P210" s="2">
        <v>0</v>
      </c>
      <c r="Q210">
        <f t="shared" si="12"/>
        <v>13685.365853658537</v>
      </c>
      <c r="R210">
        <f t="shared" ca="1" si="13"/>
        <v>51</v>
      </c>
      <c r="S210" s="2">
        <f t="shared" si="14"/>
        <v>-6173.34</v>
      </c>
      <c r="T210" s="18">
        <v>0.1</v>
      </c>
      <c r="U210">
        <f t="shared" si="15"/>
        <v>-6790.6740000000009</v>
      </c>
    </row>
    <row r="211" spans="1:21" x14ac:dyDescent="0.3">
      <c r="A211" t="s">
        <v>464</v>
      </c>
      <c r="B211" s="1">
        <v>45018</v>
      </c>
      <c r="C211" t="s">
        <v>465</v>
      </c>
      <c r="D211" s="3" t="s">
        <v>53</v>
      </c>
      <c r="E211" s="2">
        <v>38443</v>
      </c>
      <c r="F211" s="2">
        <v>5.0999999999999996</v>
      </c>
      <c r="G211" s="4">
        <v>36</v>
      </c>
      <c r="H211" t="s">
        <v>26</v>
      </c>
      <c r="I211" t="s">
        <v>73</v>
      </c>
      <c r="J211" t="s">
        <v>37</v>
      </c>
      <c r="K211" s="2">
        <v>128046</v>
      </c>
      <c r="L211" t="s">
        <v>33</v>
      </c>
      <c r="M211" s="2">
        <v>0.15</v>
      </c>
      <c r="N211" s="2">
        <v>0.82</v>
      </c>
      <c r="O211" s="2">
        <v>5847.39</v>
      </c>
      <c r="P211" s="2">
        <v>0</v>
      </c>
      <c r="Q211">
        <f t="shared" si="12"/>
        <v>46881.707317073175</v>
      </c>
      <c r="R211">
        <f t="shared" ca="1" si="13"/>
        <v>35</v>
      </c>
      <c r="S211" s="2">
        <f t="shared" si="14"/>
        <v>-32595.61</v>
      </c>
      <c r="T211" s="18">
        <v>0.1</v>
      </c>
      <c r="U211">
        <f t="shared" si="15"/>
        <v>-35855.171000000002</v>
      </c>
    </row>
    <row r="212" spans="1:21" x14ac:dyDescent="0.3">
      <c r="A212" t="s">
        <v>466</v>
      </c>
      <c r="B212" s="1">
        <v>45153</v>
      </c>
      <c r="C212" t="s">
        <v>467</v>
      </c>
      <c r="D212" s="3" t="s">
        <v>50</v>
      </c>
      <c r="E212" s="2">
        <v>35701</v>
      </c>
      <c r="F212" s="2">
        <v>6.1</v>
      </c>
      <c r="G212" s="4">
        <v>36</v>
      </c>
      <c r="H212" t="s">
        <v>19</v>
      </c>
      <c r="I212" t="s">
        <v>84</v>
      </c>
      <c r="J212" t="s">
        <v>32</v>
      </c>
      <c r="K212" s="2">
        <v>120012</v>
      </c>
      <c r="L212" t="s">
        <v>22</v>
      </c>
      <c r="M212" s="2">
        <v>0.17</v>
      </c>
      <c r="N212" s="2">
        <v>0.9</v>
      </c>
      <c r="O212" s="2">
        <v>37878.76</v>
      </c>
      <c r="P212" s="2">
        <v>0</v>
      </c>
      <c r="Q212">
        <f t="shared" si="12"/>
        <v>39667.777777777774</v>
      </c>
      <c r="R212">
        <f t="shared" ca="1" si="13"/>
        <v>31</v>
      </c>
      <c r="S212" s="2">
        <f t="shared" si="14"/>
        <v>2177.760000000002</v>
      </c>
      <c r="T212" s="18">
        <v>0.1</v>
      </c>
      <c r="U212">
        <f t="shared" si="15"/>
        <v>2395.5360000000023</v>
      </c>
    </row>
    <row r="213" spans="1:21" x14ac:dyDescent="0.3">
      <c r="A213" t="s">
        <v>468</v>
      </c>
      <c r="B213" s="1">
        <v>44357</v>
      </c>
      <c r="C213" t="s">
        <v>469</v>
      </c>
      <c r="D213" s="3" t="s">
        <v>40</v>
      </c>
      <c r="E213" s="2">
        <v>18764</v>
      </c>
      <c r="F213" s="2">
        <v>9.5</v>
      </c>
      <c r="G213" s="4">
        <v>36</v>
      </c>
      <c r="H213" t="s">
        <v>19</v>
      </c>
      <c r="I213" t="s">
        <v>36</v>
      </c>
      <c r="J213" t="s">
        <v>21</v>
      </c>
      <c r="K213" s="2">
        <v>108278</v>
      </c>
      <c r="L213" t="s">
        <v>29</v>
      </c>
      <c r="M213" s="2">
        <v>0.24</v>
      </c>
      <c r="N213" s="2">
        <v>0.76</v>
      </c>
      <c r="O213" s="2">
        <v>20546.580000000002</v>
      </c>
      <c r="P213" s="2">
        <v>0</v>
      </c>
      <c r="Q213">
        <f t="shared" si="12"/>
        <v>24689.473684210527</v>
      </c>
      <c r="R213">
        <f t="shared" ca="1" si="13"/>
        <v>57</v>
      </c>
      <c r="S213" s="2">
        <f t="shared" si="14"/>
        <v>1782.5800000000017</v>
      </c>
      <c r="T213" s="18">
        <v>0.1</v>
      </c>
      <c r="U213">
        <f t="shared" si="15"/>
        <v>1960.838000000002</v>
      </c>
    </row>
    <row r="214" spans="1:21" x14ac:dyDescent="0.3">
      <c r="A214" t="s">
        <v>470</v>
      </c>
      <c r="B214" s="1">
        <v>44997</v>
      </c>
      <c r="C214" t="s">
        <v>471</v>
      </c>
      <c r="D214" s="3" t="s">
        <v>76</v>
      </c>
      <c r="E214" s="2">
        <v>18674</v>
      </c>
      <c r="F214" s="2">
        <v>7.6</v>
      </c>
      <c r="G214" s="4">
        <v>36</v>
      </c>
      <c r="H214" t="s">
        <v>19</v>
      </c>
      <c r="I214" t="s">
        <v>20</v>
      </c>
      <c r="J214" t="s">
        <v>37</v>
      </c>
      <c r="K214" s="2">
        <v>42391</v>
      </c>
      <c r="L214" t="s">
        <v>33</v>
      </c>
      <c r="M214" s="2">
        <v>0.4</v>
      </c>
      <c r="N214" s="2">
        <v>0.56000000000000005</v>
      </c>
      <c r="O214" s="2">
        <v>20093.22</v>
      </c>
      <c r="P214" s="2">
        <v>0</v>
      </c>
      <c r="Q214">
        <f t="shared" si="12"/>
        <v>33346.428571428565</v>
      </c>
      <c r="R214">
        <f t="shared" ca="1" si="13"/>
        <v>36</v>
      </c>
      <c r="S214" s="2">
        <f t="shared" si="14"/>
        <v>1419.2200000000012</v>
      </c>
      <c r="T214" s="18">
        <v>0.1</v>
      </c>
      <c r="U214">
        <f t="shared" si="15"/>
        <v>1561.1420000000014</v>
      </c>
    </row>
    <row r="215" spans="1:21" x14ac:dyDescent="0.3">
      <c r="A215" t="s">
        <v>472</v>
      </c>
      <c r="B215" s="1">
        <v>44594</v>
      </c>
      <c r="C215" t="s">
        <v>473</v>
      </c>
      <c r="D215" s="3" t="s">
        <v>18</v>
      </c>
      <c r="E215" s="2">
        <v>19024</v>
      </c>
      <c r="F215" s="2">
        <v>13</v>
      </c>
      <c r="G215" s="4">
        <v>36</v>
      </c>
      <c r="H215" t="s">
        <v>19</v>
      </c>
      <c r="I215" t="s">
        <v>57</v>
      </c>
      <c r="J215" t="s">
        <v>28</v>
      </c>
      <c r="K215" s="2">
        <v>132476</v>
      </c>
      <c r="L215" t="s">
        <v>33</v>
      </c>
      <c r="M215" s="2">
        <v>0.3</v>
      </c>
      <c r="N215" s="2">
        <v>0.55000000000000004</v>
      </c>
      <c r="O215" s="2">
        <v>21497.119999999999</v>
      </c>
      <c r="P215" s="2">
        <v>0</v>
      </c>
      <c r="Q215">
        <f t="shared" si="12"/>
        <v>34589.090909090904</v>
      </c>
      <c r="R215">
        <f t="shared" ca="1" si="13"/>
        <v>49</v>
      </c>
      <c r="S215" s="2">
        <f t="shared" si="14"/>
        <v>2473.119999999999</v>
      </c>
      <c r="T215" s="18">
        <v>0.1</v>
      </c>
      <c r="U215">
        <f t="shared" si="15"/>
        <v>2720.4319999999989</v>
      </c>
    </row>
    <row r="216" spans="1:21" x14ac:dyDescent="0.3">
      <c r="A216" t="s">
        <v>474</v>
      </c>
      <c r="B216" s="1">
        <v>45012</v>
      </c>
      <c r="C216" t="s">
        <v>475</v>
      </c>
      <c r="D216" s="3" t="s">
        <v>56</v>
      </c>
      <c r="E216" s="2">
        <v>24874</v>
      </c>
      <c r="F216" s="2">
        <v>23.5</v>
      </c>
      <c r="G216" s="4">
        <v>36</v>
      </c>
      <c r="H216" t="s">
        <v>60</v>
      </c>
      <c r="I216" t="s">
        <v>57</v>
      </c>
      <c r="J216" t="s">
        <v>37</v>
      </c>
      <c r="K216" s="2">
        <v>58901</v>
      </c>
      <c r="L216" t="s">
        <v>33</v>
      </c>
      <c r="M216" s="2">
        <v>0.36</v>
      </c>
      <c r="N216" s="2">
        <v>0.82</v>
      </c>
      <c r="O216" s="2">
        <v>0</v>
      </c>
      <c r="P216" s="2">
        <v>0</v>
      </c>
      <c r="Q216">
        <f t="shared" si="12"/>
        <v>30334.146341463416</v>
      </c>
      <c r="R216">
        <f t="shared" ca="1" si="13"/>
        <v>35</v>
      </c>
      <c r="S216" s="2">
        <f t="shared" si="14"/>
        <v>-24874</v>
      </c>
      <c r="T216" s="18">
        <v>0.1</v>
      </c>
      <c r="U216">
        <f t="shared" si="15"/>
        <v>-27361.4</v>
      </c>
    </row>
    <row r="217" spans="1:21" x14ac:dyDescent="0.3">
      <c r="A217" t="s">
        <v>476</v>
      </c>
      <c r="B217" s="1">
        <v>44597</v>
      </c>
      <c r="C217" t="s">
        <v>477</v>
      </c>
      <c r="D217" s="3" t="s">
        <v>56</v>
      </c>
      <c r="E217" s="2">
        <v>33284</v>
      </c>
      <c r="F217" s="2">
        <v>14.4</v>
      </c>
      <c r="G217" s="4">
        <v>60</v>
      </c>
      <c r="H217" t="s">
        <v>19</v>
      </c>
      <c r="I217" t="s">
        <v>57</v>
      </c>
      <c r="J217" t="s">
        <v>47</v>
      </c>
      <c r="K217" s="2">
        <v>127537</v>
      </c>
      <c r="L217" t="s">
        <v>33</v>
      </c>
      <c r="M217" s="2">
        <v>0.49</v>
      </c>
      <c r="N217" s="2">
        <v>0.57999999999999996</v>
      </c>
      <c r="O217" s="2">
        <v>38076.9</v>
      </c>
      <c r="P217" s="2">
        <v>0</v>
      </c>
      <c r="Q217">
        <f t="shared" si="12"/>
        <v>57386.206896551725</v>
      </c>
      <c r="R217">
        <f t="shared" ca="1" si="13"/>
        <v>49</v>
      </c>
      <c r="S217" s="2">
        <f t="shared" si="14"/>
        <v>4792.9000000000015</v>
      </c>
      <c r="T217" s="18">
        <v>0.1</v>
      </c>
      <c r="U217">
        <f t="shared" si="15"/>
        <v>5272.1900000000023</v>
      </c>
    </row>
    <row r="218" spans="1:21" x14ac:dyDescent="0.3">
      <c r="A218" t="s">
        <v>478</v>
      </c>
      <c r="B218" s="1">
        <v>44836</v>
      </c>
      <c r="C218" t="s">
        <v>479</v>
      </c>
      <c r="D218" s="3" t="s">
        <v>46</v>
      </c>
      <c r="E218" s="2">
        <v>18602</v>
      </c>
      <c r="F218" s="2">
        <v>5.3</v>
      </c>
      <c r="G218" s="4">
        <v>36</v>
      </c>
      <c r="H218" t="s">
        <v>81</v>
      </c>
      <c r="I218" t="s">
        <v>20</v>
      </c>
      <c r="J218" t="s">
        <v>21</v>
      </c>
      <c r="K218" s="2">
        <v>111159</v>
      </c>
      <c r="L218" t="s">
        <v>29</v>
      </c>
      <c r="M218" s="2">
        <v>0.41</v>
      </c>
      <c r="N218" s="2">
        <v>0.65</v>
      </c>
      <c r="O218" s="2">
        <v>7046.14</v>
      </c>
      <c r="P218" s="2">
        <v>4694.51</v>
      </c>
      <c r="Q218">
        <f t="shared" si="12"/>
        <v>28618.461538461539</v>
      </c>
      <c r="R218">
        <f t="shared" ca="1" si="13"/>
        <v>41</v>
      </c>
      <c r="S218" s="2">
        <f t="shared" si="14"/>
        <v>-6861.3499999999985</v>
      </c>
      <c r="T218" s="18">
        <v>0.1</v>
      </c>
      <c r="U218">
        <f t="shared" si="15"/>
        <v>-7547.4849999999988</v>
      </c>
    </row>
    <row r="219" spans="1:21" x14ac:dyDescent="0.3">
      <c r="A219" t="s">
        <v>480</v>
      </c>
      <c r="B219" s="1">
        <v>45253</v>
      </c>
      <c r="C219" t="s">
        <v>481</v>
      </c>
      <c r="D219" s="3" t="s">
        <v>56</v>
      </c>
      <c r="E219" s="2">
        <v>38784</v>
      </c>
      <c r="F219" s="2">
        <v>10.7</v>
      </c>
      <c r="G219" s="4">
        <v>60</v>
      </c>
      <c r="H219" t="s">
        <v>19</v>
      </c>
      <c r="I219" t="s">
        <v>84</v>
      </c>
      <c r="J219" t="s">
        <v>28</v>
      </c>
      <c r="K219" s="2">
        <v>97914</v>
      </c>
      <c r="L219" t="s">
        <v>22</v>
      </c>
      <c r="M219" s="2">
        <v>0.27</v>
      </c>
      <c r="N219" s="2">
        <v>0.72</v>
      </c>
      <c r="O219" s="2">
        <v>42933.89</v>
      </c>
      <c r="P219" s="2">
        <v>0</v>
      </c>
      <c r="Q219">
        <f t="shared" si="12"/>
        <v>53866.666666666672</v>
      </c>
      <c r="R219">
        <f t="shared" ca="1" si="13"/>
        <v>27</v>
      </c>
      <c r="S219" s="2">
        <f t="shared" si="14"/>
        <v>4149.8899999999994</v>
      </c>
      <c r="T219" s="18">
        <v>0.1</v>
      </c>
      <c r="U219">
        <f t="shared" si="15"/>
        <v>4564.8789999999999</v>
      </c>
    </row>
    <row r="220" spans="1:21" x14ac:dyDescent="0.3">
      <c r="A220" t="s">
        <v>482</v>
      </c>
      <c r="B220" s="1">
        <v>44884</v>
      </c>
      <c r="C220" t="s">
        <v>483</v>
      </c>
      <c r="D220" s="3" t="s">
        <v>72</v>
      </c>
      <c r="E220" s="2">
        <v>24265</v>
      </c>
      <c r="F220" s="2">
        <v>5.9</v>
      </c>
      <c r="G220" s="4">
        <v>36</v>
      </c>
      <c r="H220" t="s">
        <v>19</v>
      </c>
      <c r="I220" t="s">
        <v>20</v>
      </c>
      <c r="J220" t="s">
        <v>21</v>
      </c>
      <c r="K220" s="2">
        <v>80357</v>
      </c>
      <c r="L220" t="s">
        <v>33</v>
      </c>
      <c r="M220" s="2">
        <v>0.28000000000000003</v>
      </c>
      <c r="N220" s="2">
        <v>0.51</v>
      </c>
      <c r="O220" s="2">
        <v>25696.639999999999</v>
      </c>
      <c r="P220" s="2">
        <v>0</v>
      </c>
      <c r="Q220">
        <f t="shared" si="12"/>
        <v>47578.431372549021</v>
      </c>
      <c r="R220">
        <f t="shared" ca="1" si="13"/>
        <v>40</v>
      </c>
      <c r="S220" s="2">
        <f t="shared" si="14"/>
        <v>1431.6399999999994</v>
      </c>
      <c r="T220" s="18">
        <v>0.1</v>
      </c>
      <c r="U220">
        <f t="shared" si="15"/>
        <v>1574.8039999999994</v>
      </c>
    </row>
    <row r="221" spans="1:21" x14ac:dyDescent="0.3">
      <c r="A221" t="s">
        <v>484</v>
      </c>
      <c r="B221" s="1">
        <v>44656</v>
      </c>
      <c r="C221" t="s">
        <v>485</v>
      </c>
      <c r="D221" s="3" t="s">
        <v>56</v>
      </c>
      <c r="E221" s="2">
        <v>26931</v>
      </c>
      <c r="F221" s="2">
        <v>5.7</v>
      </c>
      <c r="G221" s="4">
        <v>36</v>
      </c>
      <c r="H221" t="s">
        <v>81</v>
      </c>
      <c r="I221" t="s">
        <v>73</v>
      </c>
      <c r="J221" t="s">
        <v>21</v>
      </c>
      <c r="K221" s="2">
        <v>116908</v>
      </c>
      <c r="L221" t="s">
        <v>33</v>
      </c>
      <c r="M221" s="2">
        <v>0.35</v>
      </c>
      <c r="N221" s="2">
        <v>0.61</v>
      </c>
      <c r="O221" s="2">
        <v>8489.4699999999993</v>
      </c>
      <c r="P221" s="2">
        <v>8648.65</v>
      </c>
      <c r="Q221">
        <f t="shared" si="12"/>
        <v>44149.180327868853</v>
      </c>
      <c r="R221">
        <f t="shared" ca="1" si="13"/>
        <v>47</v>
      </c>
      <c r="S221" s="2">
        <f t="shared" si="14"/>
        <v>-9792.880000000001</v>
      </c>
      <c r="T221" s="18">
        <v>0.1</v>
      </c>
      <c r="U221">
        <f t="shared" si="15"/>
        <v>-10772.168000000001</v>
      </c>
    </row>
    <row r="222" spans="1:21" x14ac:dyDescent="0.3">
      <c r="A222" t="s">
        <v>486</v>
      </c>
      <c r="B222" s="1">
        <v>45151</v>
      </c>
      <c r="C222" t="s">
        <v>487</v>
      </c>
      <c r="D222" s="3" t="s">
        <v>72</v>
      </c>
      <c r="E222" s="2">
        <v>29841</v>
      </c>
      <c r="F222" s="2">
        <v>10.5</v>
      </c>
      <c r="G222" s="4">
        <v>60</v>
      </c>
      <c r="H222" t="s">
        <v>19</v>
      </c>
      <c r="I222" t="s">
        <v>27</v>
      </c>
      <c r="J222" t="s">
        <v>28</v>
      </c>
      <c r="K222" s="2">
        <v>140335</v>
      </c>
      <c r="L222" t="s">
        <v>29</v>
      </c>
      <c r="M222" s="2">
        <v>0.37</v>
      </c>
      <c r="N222" s="2">
        <v>0.68</v>
      </c>
      <c r="O222" s="2">
        <v>32974.300000000003</v>
      </c>
      <c r="P222" s="2">
        <v>0</v>
      </c>
      <c r="Q222">
        <f t="shared" si="12"/>
        <v>43883.823529411762</v>
      </c>
      <c r="R222">
        <f t="shared" ca="1" si="13"/>
        <v>31</v>
      </c>
      <c r="S222" s="2">
        <f t="shared" si="14"/>
        <v>3133.3000000000029</v>
      </c>
      <c r="T222" s="18">
        <v>0.1</v>
      </c>
      <c r="U222">
        <f t="shared" si="15"/>
        <v>3446.6300000000033</v>
      </c>
    </row>
    <row r="223" spans="1:21" x14ac:dyDescent="0.3">
      <c r="A223" t="s">
        <v>488</v>
      </c>
      <c r="B223" s="1">
        <v>44666</v>
      </c>
      <c r="C223" t="s">
        <v>489</v>
      </c>
      <c r="D223" s="3" t="s">
        <v>25</v>
      </c>
      <c r="E223" s="2">
        <v>30192</v>
      </c>
      <c r="F223" s="2">
        <v>10.5</v>
      </c>
      <c r="G223" s="4">
        <v>60</v>
      </c>
      <c r="H223" t="s">
        <v>19</v>
      </c>
      <c r="I223" t="s">
        <v>20</v>
      </c>
      <c r="J223" t="s">
        <v>37</v>
      </c>
      <c r="K223" s="2">
        <v>68437</v>
      </c>
      <c r="L223" t="s">
        <v>33</v>
      </c>
      <c r="M223" s="2">
        <v>0.3</v>
      </c>
      <c r="N223" s="2">
        <v>0.63</v>
      </c>
      <c r="O223" s="2">
        <v>33362.160000000003</v>
      </c>
      <c r="P223" s="2">
        <v>0</v>
      </c>
      <c r="Q223">
        <f t="shared" si="12"/>
        <v>47923.809523809527</v>
      </c>
      <c r="R223">
        <f t="shared" ca="1" si="13"/>
        <v>47</v>
      </c>
      <c r="S223" s="2">
        <f t="shared" si="14"/>
        <v>3170.1600000000035</v>
      </c>
      <c r="T223" s="18">
        <v>0.1</v>
      </c>
      <c r="U223">
        <f t="shared" si="15"/>
        <v>3487.176000000004</v>
      </c>
    </row>
    <row r="224" spans="1:21" x14ac:dyDescent="0.3">
      <c r="A224" t="s">
        <v>490</v>
      </c>
      <c r="B224" s="1">
        <v>45242</v>
      </c>
      <c r="C224" t="s">
        <v>491</v>
      </c>
      <c r="D224" s="3" t="s">
        <v>72</v>
      </c>
      <c r="E224" s="2">
        <v>16585</v>
      </c>
      <c r="F224" s="2">
        <v>20.7</v>
      </c>
      <c r="G224" s="4">
        <v>36</v>
      </c>
      <c r="H224" t="s">
        <v>19</v>
      </c>
      <c r="I224" t="s">
        <v>36</v>
      </c>
      <c r="J224" t="s">
        <v>37</v>
      </c>
      <c r="K224" s="2">
        <v>65503</v>
      </c>
      <c r="L224" t="s">
        <v>33</v>
      </c>
      <c r="M224" s="2">
        <v>0.36</v>
      </c>
      <c r="N224" s="2">
        <v>0.56000000000000005</v>
      </c>
      <c r="O224" s="2">
        <v>20018.099999999999</v>
      </c>
      <c r="P224" s="2">
        <v>0</v>
      </c>
      <c r="Q224">
        <f t="shared" si="12"/>
        <v>29616.071428571428</v>
      </c>
      <c r="R224">
        <f t="shared" ca="1" si="13"/>
        <v>28</v>
      </c>
      <c r="S224" s="2">
        <f t="shared" si="14"/>
        <v>3433.0999999999985</v>
      </c>
      <c r="T224" s="18">
        <v>0.1</v>
      </c>
      <c r="U224">
        <f t="shared" si="15"/>
        <v>3776.4099999999985</v>
      </c>
    </row>
    <row r="225" spans="1:21" x14ac:dyDescent="0.3">
      <c r="A225" t="s">
        <v>492</v>
      </c>
      <c r="B225" s="1">
        <v>44946</v>
      </c>
      <c r="C225" t="s">
        <v>493</v>
      </c>
      <c r="D225" s="3" t="s">
        <v>76</v>
      </c>
      <c r="E225" s="2">
        <v>26559</v>
      </c>
      <c r="F225" s="2">
        <v>24.5</v>
      </c>
      <c r="G225" s="4">
        <v>60</v>
      </c>
      <c r="H225" t="s">
        <v>26</v>
      </c>
      <c r="I225" t="s">
        <v>84</v>
      </c>
      <c r="J225" t="s">
        <v>37</v>
      </c>
      <c r="K225" s="2">
        <v>126282</v>
      </c>
      <c r="L225" t="s">
        <v>22</v>
      </c>
      <c r="M225" s="2">
        <v>0.11</v>
      </c>
      <c r="N225" s="2">
        <v>0.83</v>
      </c>
      <c r="O225" s="2">
        <v>10442.84</v>
      </c>
      <c r="P225" s="2">
        <v>0</v>
      </c>
      <c r="Q225">
        <f t="shared" si="12"/>
        <v>31998.795180722893</v>
      </c>
      <c r="R225">
        <f t="shared" ca="1" si="13"/>
        <v>37</v>
      </c>
      <c r="S225" s="2">
        <f t="shared" si="14"/>
        <v>-16116.16</v>
      </c>
      <c r="T225" s="18">
        <v>0.1</v>
      </c>
      <c r="U225">
        <f t="shared" si="15"/>
        <v>-17727.776000000002</v>
      </c>
    </row>
    <row r="226" spans="1:21" x14ac:dyDescent="0.3">
      <c r="A226" t="s">
        <v>494</v>
      </c>
      <c r="B226" s="1">
        <v>44234</v>
      </c>
      <c r="C226" t="s">
        <v>495</v>
      </c>
      <c r="D226" s="3" t="s">
        <v>50</v>
      </c>
      <c r="E226" s="2">
        <v>34742</v>
      </c>
      <c r="F226" s="2">
        <v>12.4</v>
      </c>
      <c r="G226" s="4">
        <v>60</v>
      </c>
      <c r="H226" t="s">
        <v>19</v>
      </c>
      <c r="I226" t="s">
        <v>73</v>
      </c>
      <c r="J226" t="s">
        <v>32</v>
      </c>
      <c r="K226" s="2">
        <v>123459</v>
      </c>
      <c r="L226" t="s">
        <v>33</v>
      </c>
      <c r="M226" s="2">
        <v>0.27</v>
      </c>
      <c r="N226" s="2">
        <v>0.87</v>
      </c>
      <c r="O226" s="2">
        <v>39050.01</v>
      </c>
      <c r="P226" s="2">
        <v>0</v>
      </c>
      <c r="Q226">
        <f t="shared" si="12"/>
        <v>39933.333333333336</v>
      </c>
      <c r="R226">
        <f t="shared" ca="1" si="13"/>
        <v>61</v>
      </c>
      <c r="S226" s="2">
        <f t="shared" si="14"/>
        <v>4308.010000000002</v>
      </c>
      <c r="T226" s="18">
        <v>0.1</v>
      </c>
      <c r="U226">
        <f t="shared" si="15"/>
        <v>4738.8110000000024</v>
      </c>
    </row>
    <row r="227" spans="1:21" x14ac:dyDescent="0.3">
      <c r="A227" t="s">
        <v>496</v>
      </c>
      <c r="B227" s="1">
        <v>44426</v>
      </c>
      <c r="C227" t="s">
        <v>497</v>
      </c>
      <c r="D227" s="3" t="s">
        <v>76</v>
      </c>
      <c r="E227" s="2">
        <v>5133</v>
      </c>
      <c r="F227" s="2">
        <v>13.6</v>
      </c>
      <c r="G227" s="4">
        <v>60</v>
      </c>
      <c r="H227" t="s">
        <v>26</v>
      </c>
      <c r="I227" t="s">
        <v>57</v>
      </c>
      <c r="J227" t="s">
        <v>37</v>
      </c>
      <c r="K227" s="2">
        <v>105403</v>
      </c>
      <c r="L227" t="s">
        <v>29</v>
      </c>
      <c r="M227" s="2">
        <v>0.21</v>
      </c>
      <c r="N227" s="2">
        <v>0.62</v>
      </c>
      <c r="O227" s="2">
        <v>722</v>
      </c>
      <c r="P227" s="2">
        <v>0</v>
      </c>
      <c r="Q227">
        <f t="shared" si="12"/>
        <v>8279.032258064517</v>
      </c>
      <c r="R227">
        <f t="shared" ca="1" si="13"/>
        <v>55</v>
      </c>
      <c r="S227" s="2">
        <f t="shared" si="14"/>
        <v>-4411</v>
      </c>
      <c r="T227" s="18">
        <v>0.1</v>
      </c>
      <c r="U227">
        <f t="shared" si="15"/>
        <v>-4852.1000000000004</v>
      </c>
    </row>
    <row r="228" spans="1:21" x14ac:dyDescent="0.3">
      <c r="A228" t="s">
        <v>498</v>
      </c>
      <c r="B228" s="1">
        <v>44759</v>
      </c>
      <c r="C228" t="s">
        <v>499</v>
      </c>
      <c r="D228" s="3" t="s">
        <v>50</v>
      </c>
      <c r="E228" s="2">
        <v>15663</v>
      </c>
      <c r="F228" s="2">
        <v>21.9</v>
      </c>
      <c r="G228" s="4">
        <v>60</v>
      </c>
      <c r="H228" t="s">
        <v>26</v>
      </c>
      <c r="I228" t="s">
        <v>20</v>
      </c>
      <c r="J228" t="s">
        <v>28</v>
      </c>
      <c r="K228" s="2">
        <v>71258</v>
      </c>
      <c r="L228" t="s">
        <v>22</v>
      </c>
      <c r="M228" s="2">
        <v>0.15</v>
      </c>
      <c r="N228" s="2">
        <v>0.85</v>
      </c>
      <c r="O228" s="2">
        <v>2433.83</v>
      </c>
      <c r="P228" s="2">
        <v>0</v>
      </c>
      <c r="Q228">
        <f t="shared" si="12"/>
        <v>18427.058823529413</v>
      </c>
      <c r="R228">
        <f t="shared" ca="1" si="13"/>
        <v>44</v>
      </c>
      <c r="S228" s="2">
        <f t="shared" si="14"/>
        <v>-13229.17</v>
      </c>
      <c r="T228" s="18">
        <v>0.1</v>
      </c>
      <c r="U228">
        <f t="shared" si="15"/>
        <v>-14552.087000000001</v>
      </c>
    </row>
    <row r="229" spans="1:21" x14ac:dyDescent="0.3">
      <c r="A229" t="s">
        <v>500</v>
      </c>
      <c r="B229" s="1">
        <v>44634</v>
      </c>
      <c r="C229" t="s">
        <v>501</v>
      </c>
      <c r="D229" s="3" t="s">
        <v>46</v>
      </c>
      <c r="E229" s="2">
        <v>22754</v>
      </c>
      <c r="F229" s="2">
        <v>10.4</v>
      </c>
      <c r="G229" s="4">
        <v>36</v>
      </c>
      <c r="H229" t="s">
        <v>26</v>
      </c>
      <c r="I229" t="s">
        <v>27</v>
      </c>
      <c r="J229" t="s">
        <v>32</v>
      </c>
      <c r="K229" s="2">
        <v>63724</v>
      </c>
      <c r="L229" t="s">
        <v>29</v>
      </c>
      <c r="M229" s="2">
        <v>0.14000000000000001</v>
      </c>
      <c r="N229" s="2">
        <v>0.67</v>
      </c>
      <c r="O229" s="2">
        <v>6475.12</v>
      </c>
      <c r="P229" s="2">
        <v>0</v>
      </c>
      <c r="Q229">
        <f t="shared" si="12"/>
        <v>33961.194029850747</v>
      </c>
      <c r="R229">
        <f t="shared" ca="1" si="13"/>
        <v>48</v>
      </c>
      <c r="S229" s="2">
        <f t="shared" si="14"/>
        <v>-16278.880000000001</v>
      </c>
      <c r="T229" s="18">
        <v>0.1</v>
      </c>
      <c r="U229">
        <f t="shared" si="15"/>
        <v>-17906.768000000004</v>
      </c>
    </row>
    <row r="230" spans="1:21" x14ac:dyDescent="0.3">
      <c r="A230" t="s">
        <v>502</v>
      </c>
      <c r="B230" s="1">
        <v>44223</v>
      </c>
      <c r="C230" t="s">
        <v>503</v>
      </c>
      <c r="D230" s="3" t="s">
        <v>25</v>
      </c>
      <c r="E230" s="2">
        <v>4972</v>
      </c>
      <c r="F230" s="2">
        <v>8.1</v>
      </c>
      <c r="G230" s="4">
        <v>60</v>
      </c>
      <c r="H230" t="s">
        <v>26</v>
      </c>
      <c r="I230" t="s">
        <v>20</v>
      </c>
      <c r="J230" t="s">
        <v>37</v>
      </c>
      <c r="K230" s="2">
        <v>94286</v>
      </c>
      <c r="L230" t="s">
        <v>22</v>
      </c>
      <c r="M230" s="2">
        <v>0.34</v>
      </c>
      <c r="N230" s="2">
        <v>0.73</v>
      </c>
      <c r="O230" s="2">
        <v>633.66</v>
      </c>
      <c r="P230" s="2">
        <v>0</v>
      </c>
      <c r="Q230">
        <f t="shared" si="12"/>
        <v>6810.9589041095896</v>
      </c>
      <c r="R230">
        <f t="shared" ca="1" si="13"/>
        <v>61</v>
      </c>
      <c r="S230" s="2">
        <f t="shared" si="14"/>
        <v>-4338.34</v>
      </c>
      <c r="T230" s="18">
        <v>0.1</v>
      </c>
      <c r="U230">
        <f t="shared" si="15"/>
        <v>-4772.1740000000009</v>
      </c>
    </row>
    <row r="231" spans="1:21" x14ac:dyDescent="0.3">
      <c r="A231" t="s">
        <v>504</v>
      </c>
      <c r="B231" s="1">
        <v>44422</v>
      </c>
      <c r="C231" t="s">
        <v>505</v>
      </c>
      <c r="D231" s="3" t="s">
        <v>50</v>
      </c>
      <c r="E231" s="2">
        <v>6295</v>
      </c>
      <c r="F231" s="2">
        <v>22.1</v>
      </c>
      <c r="G231" s="4">
        <v>36</v>
      </c>
      <c r="H231" t="s">
        <v>19</v>
      </c>
      <c r="I231" t="s">
        <v>27</v>
      </c>
      <c r="J231" t="s">
        <v>32</v>
      </c>
      <c r="K231" s="2">
        <v>104842</v>
      </c>
      <c r="L231" t="s">
        <v>22</v>
      </c>
      <c r="M231" s="2">
        <v>0.31</v>
      </c>
      <c r="N231" s="2">
        <v>0.89</v>
      </c>
      <c r="O231" s="2">
        <v>7686.2</v>
      </c>
      <c r="P231" s="2">
        <v>0</v>
      </c>
      <c r="Q231">
        <f t="shared" si="12"/>
        <v>7073.0337078651683</v>
      </c>
      <c r="R231">
        <f t="shared" ca="1" si="13"/>
        <v>55</v>
      </c>
      <c r="S231" s="2">
        <f t="shared" si="14"/>
        <v>1391.1999999999998</v>
      </c>
      <c r="T231" s="18">
        <v>0.1</v>
      </c>
      <c r="U231">
        <f t="shared" si="15"/>
        <v>1530.32</v>
      </c>
    </row>
    <row r="232" spans="1:21" x14ac:dyDescent="0.3">
      <c r="A232" t="s">
        <v>506</v>
      </c>
      <c r="B232" s="1">
        <v>44994</v>
      </c>
      <c r="C232" t="s">
        <v>507</v>
      </c>
      <c r="D232" s="3" t="s">
        <v>50</v>
      </c>
      <c r="E232" s="2">
        <v>30125</v>
      </c>
      <c r="F232" s="2">
        <v>5.9</v>
      </c>
      <c r="G232" s="4">
        <v>36</v>
      </c>
      <c r="H232" t="s">
        <v>19</v>
      </c>
      <c r="I232" t="s">
        <v>84</v>
      </c>
      <c r="J232" t="s">
        <v>28</v>
      </c>
      <c r="K232" s="2">
        <v>134927</v>
      </c>
      <c r="L232" t="s">
        <v>33</v>
      </c>
      <c r="M232" s="2">
        <v>0.2</v>
      </c>
      <c r="N232" s="2">
        <v>0.84</v>
      </c>
      <c r="O232" s="2">
        <v>31902.38</v>
      </c>
      <c r="P232" s="2">
        <v>0</v>
      </c>
      <c r="Q232">
        <f t="shared" si="12"/>
        <v>35863.095238095237</v>
      </c>
      <c r="R232">
        <f t="shared" ca="1" si="13"/>
        <v>36</v>
      </c>
      <c r="S232" s="2">
        <f t="shared" si="14"/>
        <v>1777.380000000001</v>
      </c>
      <c r="T232" s="18">
        <v>0.1</v>
      </c>
      <c r="U232">
        <f t="shared" si="15"/>
        <v>1955.1180000000013</v>
      </c>
    </row>
    <row r="233" spans="1:21" x14ac:dyDescent="0.3">
      <c r="A233" t="s">
        <v>508</v>
      </c>
      <c r="B233" s="1">
        <v>44480</v>
      </c>
      <c r="C233" t="s">
        <v>509</v>
      </c>
      <c r="D233" s="3" t="s">
        <v>40</v>
      </c>
      <c r="E233" s="2">
        <v>10903</v>
      </c>
      <c r="F233" s="2">
        <v>17.399999999999999</v>
      </c>
      <c r="G233" s="4">
        <v>36</v>
      </c>
      <c r="H233" t="s">
        <v>26</v>
      </c>
      <c r="I233" t="s">
        <v>20</v>
      </c>
      <c r="J233" t="s">
        <v>37</v>
      </c>
      <c r="K233" s="2">
        <v>44908</v>
      </c>
      <c r="L233" t="s">
        <v>33</v>
      </c>
      <c r="M233" s="2">
        <v>0.28999999999999998</v>
      </c>
      <c r="N233" s="2">
        <v>0.86</v>
      </c>
      <c r="O233" s="2">
        <v>2043.7</v>
      </c>
      <c r="P233" s="2">
        <v>0</v>
      </c>
      <c r="Q233">
        <f t="shared" si="12"/>
        <v>12677.906976744187</v>
      </c>
      <c r="R233">
        <f t="shared" ca="1" si="13"/>
        <v>53</v>
      </c>
      <c r="S233" s="2">
        <f t="shared" si="14"/>
        <v>-8859.2999999999993</v>
      </c>
      <c r="T233" s="18">
        <v>0.1</v>
      </c>
      <c r="U233">
        <f t="shared" si="15"/>
        <v>-9745.23</v>
      </c>
    </row>
    <row r="234" spans="1:21" x14ac:dyDescent="0.3">
      <c r="A234" t="s">
        <v>510</v>
      </c>
      <c r="B234" s="1">
        <v>45075</v>
      </c>
      <c r="C234" t="s">
        <v>511</v>
      </c>
      <c r="D234" s="3" t="s">
        <v>65</v>
      </c>
      <c r="E234" s="2">
        <v>4020</v>
      </c>
      <c r="F234" s="2">
        <v>16.2</v>
      </c>
      <c r="G234" s="4">
        <v>36</v>
      </c>
      <c r="H234" t="s">
        <v>19</v>
      </c>
      <c r="I234" t="s">
        <v>84</v>
      </c>
      <c r="J234" t="s">
        <v>47</v>
      </c>
      <c r="K234" s="2">
        <v>122617</v>
      </c>
      <c r="L234" t="s">
        <v>33</v>
      </c>
      <c r="M234" s="2">
        <v>0.3</v>
      </c>
      <c r="N234" s="2">
        <v>0.56000000000000005</v>
      </c>
      <c r="O234" s="2">
        <v>4671.24</v>
      </c>
      <c r="P234" s="2">
        <v>0</v>
      </c>
      <c r="Q234">
        <f t="shared" si="12"/>
        <v>7178.5714285714275</v>
      </c>
      <c r="R234">
        <f t="shared" ca="1" si="13"/>
        <v>33</v>
      </c>
      <c r="S234" s="2">
        <f t="shared" si="14"/>
        <v>651.23999999999978</v>
      </c>
      <c r="T234" s="18">
        <v>0.1</v>
      </c>
      <c r="U234">
        <f t="shared" si="15"/>
        <v>716.36399999999981</v>
      </c>
    </row>
    <row r="235" spans="1:21" x14ac:dyDescent="0.3">
      <c r="A235" t="s">
        <v>512</v>
      </c>
      <c r="B235" s="1">
        <v>45156</v>
      </c>
      <c r="C235" t="s">
        <v>513</v>
      </c>
      <c r="D235" s="3" t="s">
        <v>65</v>
      </c>
      <c r="E235" s="2">
        <v>21420</v>
      </c>
      <c r="F235" s="2">
        <v>11.9</v>
      </c>
      <c r="G235" s="4">
        <v>60</v>
      </c>
      <c r="H235" t="s">
        <v>19</v>
      </c>
      <c r="I235" t="s">
        <v>20</v>
      </c>
      <c r="J235" t="s">
        <v>28</v>
      </c>
      <c r="K235" s="2">
        <v>80626</v>
      </c>
      <c r="L235" t="s">
        <v>29</v>
      </c>
      <c r="M235" s="2">
        <v>0.18</v>
      </c>
      <c r="N235" s="2">
        <v>0.53</v>
      </c>
      <c r="O235" s="2">
        <v>23968.98</v>
      </c>
      <c r="P235" s="2">
        <v>0</v>
      </c>
      <c r="Q235">
        <f t="shared" si="12"/>
        <v>40415.094339622643</v>
      </c>
      <c r="R235">
        <f t="shared" ca="1" si="13"/>
        <v>31</v>
      </c>
      <c r="S235" s="2">
        <f t="shared" si="14"/>
        <v>2548.9799999999996</v>
      </c>
      <c r="T235" s="18">
        <v>0.1</v>
      </c>
      <c r="U235">
        <f t="shared" si="15"/>
        <v>2803.8779999999997</v>
      </c>
    </row>
    <row r="236" spans="1:21" x14ac:dyDescent="0.3">
      <c r="A236" t="s">
        <v>514</v>
      </c>
      <c r="B236" s="1">
        <v>44649</v>
      </c>
      <c r="C236" t="s">
        <v>515</v>
      </c>
      <c r="D236" s="3" t="s">
        <v>40</v>
      </c>
      <c r="E236" s="2">
        <v>22452</v>
      </c>
      <c r="F236" s="2">
        <v>11.3</v>
      </c>
      <c r="G236" s="4">
        <v>60</v>
      </c>
      <c r="H236" t="s">
        <v>19</v>
      </c>
      <c r="I236" t="s">
        <v>36</v>
      </c>
      <c r="J236" t="s">
        <v>21</v>
      </c>
      <c r="K236" s="2">
        <v>67228</v>
      </c>
      <c r="L236" t="s">
        <v>33</v>
      </c>
      <c r="M236" s="2">
        <v>0.36</v>
      </c>
      <c r="N236" s="2">
        <v>0.9</v>
      </c>
      <c r="O236" s="2">
        <v>24989.08</v>
      </c>
      <c r="P236" s="2">
        <v>0</v>
      </c>
      <c r="Q236">
        <f t="shared" si="12"/>
        <v>24946.666666666664</v>
      </c>
      <c r="R236">
        <f t="shared" ca="1" si="13"/>
        <v>47</v>
      </c>
      <c r="S236" s="2">
        <f t="shared" si="14"/>
        <v>2537.0800000000017</v>
      </c>
      <c r="T236" s="18">
        <v>0.1</v>
      </c>
      <c r="U236">
        <f t="shared" si="15"/>
        <v>2790.7880000000023</v>
      </c>
    </row>
    <row r="237" spans="1:21" x14ac:dyDescent="0.3">
      <c r="A237" t="s">
        <v>516</v>
      </c>
      <c r="B237" s="1">
        <v>45216</v>
      </c>
      <c r="C237" t="s">
        <v>517</v>
      </c>
      <c r="D237" s="3" t="s">
        <v>56</v>
      </c>
      <c r="E237" s="2">
        <v>39001</v>
      </c>
      <c r="F237" s="2">
        <v>20.399999999999999</v>
      </c>
      <c r="G237" s="4">
        <v>36</v>
      </c>
      <c r="H237" t="s">
        <v>81</v>
      </c>
      <c r="I237" t="s">
        <v>20</v>
      </c>
      <c r="J237" t="s">
        <v>21</v>
      </c>
      <c r="K237" s="2">
        <v>53386</v>
      </c>
      <c r="L237" t="s">
        <v>33</v>
      </c>
      <c r="M237" s="2">
        <v>0.41</v>
      </c>
      <c r="N237" s="2">
        <v>0.67</v>
      </c>
      <c r="O237" s="2">
        <v>7661.31</v>
      </c>
      <c r="P237" s="2">
        <v>15157.1</v>
      </c>
      <c r="Q237">
        <f t="shared" si="12"/>
        <v>58210.447761194024</v>
      </c>
      <c r="R237">
        <f t="shared" ca="1" si="13"/>
        <v>29</v>
      </c>
      <c r="S237" s="2">
        <f t="shared" si="14"/>
        <v>-16182.59</v>
      </c>
      <c r="T237" s="18">
        <v>0.1</v>
      </c>
      <c r="U237">
        <f t="shared" si="15"/>
        <v>-17800.849000000002</v>
      </c>
    </row>
    <row r="238" spans="1:21" x14ac:dyDescent="0.3">
      <c r="A238" t="s">
        <v>518</v>
      </c>
      <c r="B238" s="1">
        <v>45012</v>
      </c>
      <c r="C238" t="s">
        <v>519</v>
      </c>
      <c r="D238" s="3" t="s">
        <v>40</v>
      </c>
      <c r="E238" s="2">
        <v>10516</v>
      </c>
      <c r="F238" s="2">
        <v>6.7</v>
      </c>
      <c r="G238" s="4">
        <v>36</v>
      </c>
      <c r="H238" t="s">
        <v>19</v>
      </c>
      <c r="I238" t="s">
        <v>27</v>
      </c>
      <c r="J238" t="s">
        <v>28</v>
      </c>
      <c r="K238" s="2">
        <v>76754</v>
      </c>
      <c r="L238" t="s">
        <v>22</v>
      </c>
      <c r="M238" s="2">
        <v>0.42</v>
      </c>
      <c r="N238" s="2">
        <v>0.63</v>
      </c>
      <c r="O238" s="2">
        <v>11220.57</v>
      </c>
      <c r="P238" s="2">
        <v>0</v>
      </c>
      <c r="Q238">
        <f t="shared" si="12"/>
        <v>16692.063492063491</v>
      </c>
      <c r="R238">
        <f t="shared" ca="1" si="13"/>
        <v>35</v>
      </c>
      <c r="S238" s="2">
        <f t="shared" si="14"/>
        <v>704.56999999999971</v>
      </c>
      <c r="T238" s="18">
        <v>0.1</v>
      </c>
      <c r="U238">
        <f t="shared" si="15"/>
        <v>775.0269999999997</v>
      </c>
    </row>
    <row r="239" spans="1:21" x14ac:dyDescent="0.3">
      <c r="A239" t="s">
        <v>520</v>
      </c>
      <c r="B239" s="1">
        <v>44855</v>
      </c>
      <c r="C239" t="s">
        <v>521</v>
      </c>
      <c r="D239" s="3" t="s">
        <v>50</v>
      </c>
      <c r="E239" s="2">
        <v>3396</v>
      </c>
      <c r="F239" s="2">
        <v>9.6999999999999993</v>
      </c>
      <c r="G239" s="4">
        <v>36</v>
      </c>
      <c r="H239" t="s">
        <v>19</v>
      </c>
      <c r="I239" t="s">
        <v>57</v>
      </c>
      <c r="J239" t="s">
        <v>21</v>
      </c>
      <c r="K239" s="2">
        <v>140942</v>
      </c>
      <c r="L239" t="s">
        <v>33</v>
      </c>
      <c r="M239" s="2">
        <v>0.34</v>
      </c>
      <c r="N239" s="2">
        <v>0.83</v>
      </c>
      <c r="O239" s="2">
        <v>3725.41</v>
      </c>
      <c r="P239" s="2">
        <v>0</v>
      </c>
      <c r="Q239">
        <f t="shared" si="12"/>
        <v>4091.5662650602412</v>
      </c>
      <c r="R239">
        <f t="shared" ca="1" si="13"/>
        <v>40</v>
      </c>
      <c r="S239" s="2">
        <f t="shared" si="14"/>
        <v>329.40999999999985</v>
      </c>
      <c r="T239" s="18">
        <v>0.1</v>
      </c>
      <c r="U239">
        <f t="shared" si="15"/>
        <v>362.35099999999989</v>
      </c>
    </row>
    <row r="240" spans="1:21" x14ac:dyDescent="0.3">
      <c r="A240" t="s">
        <v>522</v>
      </c>
      <c r="B240" s="1">
        <v>44743</v>
      </c>
      <c r="C240" t="s">
        <v>523</v>
      </c>
      <c r="D240" s="3" t="s">
        <v>50</v>
      </c>
      <c r="E240" s="2">
        <v>19546</v>
      </c>
      <c r="F240" s="2">
        <v>19.600000000000001</v>
      </c>
      <c r="G240" s="4">
        <v>36</v>
      </c>
      <c r="H240" t="s">
        <v>26</v>
      </c>
      <c r="I240" t="s">
        <v>84</v>
      </c>
      <c r="J240" t="s">
        <v>28</v>
      </c>
      <c r="K240" s="2">
        <v>58302</v>
      </c>
      <c r="L240" t="s">
        <v>33</v>
      </c>
      <c r="M240" s="2">
        <v>0.3</v>
      </c>
      <c r="N240" s="2">
        <v>0.88</v>
      </c>
      <c r="O240" s="2">
        <v>2381.36</v>
      </c>
      <c r="P240" s="2">
        <v>0</v>
      </c>
      <c r="Q240">
        <f t="shared" si="12"/>
        <v>22211.363636363636</v>
      </c>
      <c r="R240">
        <f t="shared" ca="1" si="13"/>
        <v>44</v>
      </c>
      <c r="S240" s="2">
        <f t="shared" si="14"/>
        <v>-17164.64</v>
      </c>
      <c r="T240" s="18">
        <v>0.1</v>
      </c>
      <c r="U240">
        <f t="shared" si="15"/>
        <v>-18881.103999999999</v>
      </c>
    </row>
    <row r="241" spans="1:21" x14ac:dyDescent="0.3">
      <c r="A241" t="s">
        <v>524</v>
      </c>
      <c r="B241" s="1">
        <v>45269</v>
      </c>
      <c r="C241" t="s">
        <v>525</v>
      </c>
      <c r="D241" s="3" t="s">
        <v>40</v>
      </c>
      <c r="E241" s="2">
        <v>20129</v>
      </c>
      <c r="F241" s="2">
        <v>16</v>
      </c>
      <c r="G241" s="4">
        <v>60</v>
      </c>
      <c r="H241" t="s">
        <v>26</v>
      </c>
      <c r="I241" t="s">
        <v>73</v>
      </c>
      <c r="J241" t="s">
        <v>47</v>
      </c>
      <c r="K241" s="2">
        <v>90815</v>
      </c>
      <c r="L241" t="s">
        <v>33</v>
      </c>
      <c r="M241" s="2">
        <v>0.12</v>
      </c>
      <c r="N241" s="2">
        <v>0.89</v>
      </c>
      <c r="O241" s="2">
        <v>2865.01</v>
      </c>
      <c r="P241" s="2">
        <v>0</v>
      </c>
      <c r="Q241">
        <f t="shared" si="12"/>
        <v>22616.853932584268</v>
      </c>
      <c r="R241">
        <f t="shared" ca="1" si="13"/>
        <v>27</v>
      </c>
      <c r="S241" s="2">
        <f t="shared" si="14"/>
        <v>-17263.989999999998</v>
      </c>
      <c r="T241" s="18">
        <v>0.1</v>
      </c>
      <c r="U241">
        <f t="shared" si="15"/>
        <v>-18990.388999999999</v>
      </c>
    </row>
    <row r="242" spans="1:21" x14ac:dyDescent="0.3">
      <c r="A242" t="s">
        <v>526</v>
      </c>
      <c r="B242" s="1">
        <v>44213</v>
      </c>
      <c r="C242" t="s">
        <v>527</v>
      </c>
      <c r="D242" s="3" t="s">
        <v>40</v>
      </c>
      <c r="E242" s="2">
        <v>2591</v>
      </c>
      <c r="F242" s="2">
        <v>7.6</v>
      </c>
      <c r="G242" s="4">
        <v>36</v>
      </c>
      <c r="H242" t="s">
        <v>19</v>
      </c>
      <c r="I242" t="s">
        <v>20</v>
      </c>
      <c r="J242" t="s">
        <v>28</v>
      </c>
      <c r="K242" s="2">
        <v>114748</v>
      </c>
      <c r="L242" t="s">
        <v>33</v>
      </c>
      <c r="M242" s="2">
        <v>0.22</v>
      </c>
      <c r="N242" s="2">
        <v>0.64</v>
      </c>
      <c r="O242" s="2">
        <v>2787.92</v>
      </c>
      <c r="P242" s="2">
        <v>0</v>
      </c>
      <c r="Q242">
        <f t="shared" si="12"/>
        <v>4048.4375</v>
      </c>
      <c r="R242">
        <f t="shared" ca="1" si="13"/>
        <v>62</v>
      </c>
      <c r="S242" s="2">
        <f t="shared" si="14"/>
        <v>196.92000000000007</v>
      </c>
      <c r="T242" s="18">
        <v>0.1</v>
      </c>
      <c r="U242">
        <f t="shared" si="15"/>
        <v>216.61200000000011</v>
      </c>
    </row>
    <row r="243" spans="1:21" x14ac:dyDescent="0.3">
      <c r="A243" t="s">
        <v>528</v>
      </c>
      <c r="B243" s="1">
        <v>44354</v>
      </c>
      <c r="C243" t="s">
        <v>529</v>
      </c>
      <c r="D243" s="3" t="s">
        <v>56</v>
      </c>
      <c r="E243" s="2">
        <v>12303</v>
      </c>
      <c r="F243" s="2">
        <v>22.6</v>
      </c>
      <c r="G243" s="4">
        <v>60</v>
      </c>
      <c r="H243" t="s">
        <v>19</v>
      </c>
      <c r="I243" t="s">
        <v>73</v>
      </c>
      <c r="J243" t="s">
        <v>37</v>
      </c>
      <c r="K243" s="2">
        <v>93344</v>
      </c>
      <c r="L243" t="s">
        <v>22</v>
      </c>
      <c r="M243" s="2">
        <v>0.14000000000000001</v>
      </c>
      <c r="N243" s="2">
        <v>0.88</v>
      </c>
      <c r="O243" s="2">
        <v>15083.48</v>
      </c>
      <c r="P243" s="2">
        <v>0</v>
      </c>
      <c r="Q243">
        <f t="shared" si="12"/>
        <v>13980.681818181818</v>
      </c>
      <c r="R243">
        <f t="shared" ca="1" si="13"/>
        <v>57</v>
      </c>
      <c r="S243" s="2">
        <f t="shared" si="14"/>
        <v>2780.4799999999996</v>
      </c>
      <c r="T243" s="18">
        <v>0.1</v>
      </c>
      <c r="U243">
        <f t="shared" si="15"/>
        <v>3058.5279999999998</v>
      </c>
    </row>
    <row r="244" spans="1:21" x14ac:dyDescent="0.3">
      <c r="A244" t="s">
        <v>530</v>
      </c>
      <c r="B244" s="1">
        <v>44673</v>
      </c>
      <c r="C244" t="s">
        <v>531</v>
      </c>
      <c r="D244" s="3" t="s">
        <v>76</v>
      </c>
      <c r="E244" s="2">
        <v>31561</v>
      </c>
      <c r="F244" s="2">
        <v>12.9</v>
      </c>
      <c r="G244" s="4">
        <v>36</v>
      </c>
      <c r="H244" t="s">
        <v>26</v>
      </c>
      <c r="I244" t="s">
        <v>57</v>
      </c>
      <c r="J244" t="s">
        <v>37</v>
      </c>
      <c r="K244" s="2">
        <v>65618</v>
      </c>
      <c r="L244" t="s">
        <v>33</v>
      </c>
      <c r="M244" s="2">
        <v>0.49</v>
      </c>
      <c r="N244" s="2">
        <v>0.52</v>
      </c>
      <c r="O244" s="2">
        <v>12777.42</v>
      </c>
      <c r="P244" s="2">
        <v>0</v>
      </c>
      <c r="Q244">
        <f t="shared" si="12"/>
        <v>60694.230769230766</v>
      </c>
      <c r="R244">
        <f t="shared" ca="1" si="13"/>
        <v>46</v>
      </c>
      <c r="S244" s="2">
        <f t="shared" si="14"/>
        <v>-18783.580000000002</v>
      </c>
      <c r="T244" s="18">
        <v>0.1</v>
      </c>
      <c r="U244">
        <f t="shared" si="15"/>
        <v>-20661.938000000002</v>
      </c>
    </row>
    <row r="245" spans="1:21" x14ac:dyDescent="0.3">
      <c r="A245" t="s">
        <v>532</v>
      </c>
      <c r="B245" s="1">
        <v>45266</v>
      </c>
      <c r="C245" t="s">
        <v>533</v>
      </c>
      <c r="D245" s="3" t="s">
        <v>25</v>
      </c>
      <c r="E245" s="2">
        <v>7183</v>
      </c>
      <c r="F245" s="2">
        <v>21.6</v>
      </c>
      <c r="G245" s="4">
        <v>36</v>
      </c>
      <c r="H245" t="s">
        <v>315</v>
      </c>
      <c r="I245" t="s">
        <v>27</v>
      </c>
      <c r="J245" t="s">
        <v>32</v>
      </c>
      <c r="K245" s="2">
        <v>141603</v>
      </c>
      <c r="L245" t="s">
        <v>22</v>
      </c>
      <c r="M245" s="2">
        <v>0.15</v>
      </c>
      <c r="N245" s="2">
        <v>0.52</v>
      </c>
      <c r="O245" s="2">
        <v>0</v>
      </c>
      <c r="P245" s="2">
        <v>0</v>
      </c>
      <c r="Q245">
        <f t="shared" si="12"/>
        <v>13813.461538461537</v>
      </c>
      <c r="R245">
        <f t="shared" ca="1" si="13"/>
        <v>27</v>
      </c>
      <c r="S245" s="2">
        <f t="shared" si="14"/>
        <v>-7183</v>
      </c>
      <c r="T245" s="18">
        <v>0.1</v>
      </c>
      <c r="U245">
        <f t="shared" si="15"/>
        <v>-7901.3000000000011</v>
      </c>
    </row>
    <row r="246" spans="1:21" x14ac:dyDescent="0.3">
      <c r="A246" t="s">
        <v>534</v>
      </c>
      <c r="B246" s="1">
        <v>44714</v>
      </c>
      <c r="C246" t="s">
        <v>535</v>
      </c>
      <c r="D246" s="3" t="s">
        <v>18</v>
      </c>
      <c r="E246" s="2">
        <v>27572</v>
      </c>
      <c r="F246" s="2">
        <v>20.8</v>
      </c>
      <c r="G246" s="4">
        <v>36</v>
      </c>
      <c r="H246" t="s">
        <v>26</v>
      </c>
      <c r="I246" t="s">
        <v>36</v>
      </c>
      <c r="J246" t="s">
        <v>21</v>
      </c>
      <c r="K246" s="2">
        <v>106234</v>
      </c>
      <c r="L246" t="s">
        <v>29</v>
      </c>
      <c r="M246" s="2">
        <v>0.16</v>
      </c>
      <c r="N246" s="2">
        <v>0.78</v>
      </c>
      <c r="O246" s="2">
        <v>3453.07</v>
      </c>
      <c r="P246" s="2">
        <v>0</v>
      </c>
      <c r="Q246">
        <f t="shared" si="12"/>
        <v>35348.717948717946</v>
      </c>
      <c r="R246">
        <f t="shared" ca="1" si="13"/>
        <v>45</v>
      </c>
      <c r="S246" s="2">
        <f t="shared" si="14"/>
        <v>-24118.93</v>
      </c>
      <c r="T246" s="18">
        <v>0.1</v>
      </c>
      <c r="U246">
        <f t="shared" si="15"/>
        <v>-26530.823000000004</v>
      </c>
    </row>
    <row r="247" spans="1:21" x14ac:dyDescent="0.3">
      <c r="A247" t="s">
        <v>536</v>
      </c>
      <c r="B247" s="1">
        <v>44295</v>
      </c>
      <c r="C247" t="s">
        <v>537</v>
      </c>
      <c r="D247" s="3" t="s">
        <v>50</v>
      </c>
      <c r="E247" s="2">
        <v>35080</v>
      </c>
      <c r="F247" s="2">
        <v>17.5</v>
      </c>
      <c r="G247" s="4">
        <v>36</v>
      </c>
      <c r="H247" t="s">
        <v>19</v>
      </c>
      <c r="I247" t="s">
        <v>57</v>
      </c>
      <c r="J247" t="s">
        <v>21</v>
      </c>
      <c r="K247" s="2">
        <v>91114</v>
      </c>
      <c r="L247" t="s">
        <v>33</v>
      </c>
      <c r="M247" s="2">
        <v>0.46</v>
      </c>
      <c r="N247" s="2">
        <v>0.53</v>
      </c>
      <c r="O247" s="2">
        <v>41219</v>
      </c>
      <c r="P247" s="2">
        <v>0</v>
      </c>
      <c r="Q247">
        <f t="shared" si="12"/>
        <v>66188.679245283012</v>
      </c>
      <c r="R247">
        <f t="shared" ca="1" si="13"/>
        <v>59</v>
      </c>
      <c r="S247" s="2">
        <f t="shared" si="14"/>
        <v>6139</v>
      </c>
      <c r="T247" s="18">
        <v>0.1</v>
      </c>
      <c r="U247">
        <f t="shared" si="15"/>
        <v>6752.9000000000005</v>
      </c>
    </row>
    <row r="248" spans="1:21" x14ac:dyDescent="0.3">
      <c r="A248" t="s">
        <v>538</v>
      </c>
      <c r="B248" s="1">
        <v>45257</v>
      </c>
      <c r="C248" t="s">
        <v>539</v>
      </c>
      <c r="D248" s="3" t="s">
        <v>25</v>
      </c>
      <c r="E248" s="2">
        <v>21695</v>
      </c>
      <c r="F248" s="2">
        <v>14.9</v>
      </c>
      <c r="G248" s="4">
        <v>60</v>
      </c>
      <c r="H248" t="s">
        <v>19</v>
      </c>
      <c r="I248" t="s">
        <v>57</v>
      </c>
      <c r="J248" t="s">
        <v>28</v>
      </c>
      <c r="K248" s="2">
        <v>147652</v>
      </c>
      <c r="L248" t="s">
        <v>33</v>
      </c>
      <c r="M248" s="2">
        <v>0.48</v>
      </c>
      <c r="N248" s="2">
        <v>0.65</v>
      </c>
      <c r="O248" s="2">
        <v>24927.56</v>
      </c>
      <c r="P248" s="2">
        <v>0</v>
      </c>
      <c r="Q248">
        <f t="shared" si="12"/>
        <v>33376.923076923078</v>
      </c>
      <c r="R248">
        <f t="shared" ca="1" si="13"/>
        <v>27</v>
      </c>
      <c r="S248" s="2">
        <f t="shared" si="14"/>
        <v>3232.5600000000013</v>
      </c>
      <c r="T248" s="18">
        <v>0.1</v>
      </c>
      <c r="U248">
        <f t="shared" si="15"/>
        <v>3555.8160000000016</v>
      </c>
    </row>
    <row r="249" spans="1:21" x14ac:dyDescent="0.3">
      <c r="A249" t="s">
        <v>540</v>
      </c>
      <c r="B249" s="1">
        <v>44476</v>
      </c>
      <c r="C249" t="s">
        <v>541</v>
      </c>
      <c r="D249" s="3" t="s">
        <v>40</v>
      </c>
      <c r="E249" s="2">
        <v>8314</v>
      </c>
      <c r="F249" s="2">
        <v>24.6</v>
      </c>
      <c r="G249" s="4">
        <v>60</v>
      </c>
      <c r="H249" t="s">
        <v>81</v>
      </c>
      <c r="I249" t="s">
        <v>20</v>
      </c>
      <c r="J249" t="s">
        <v>21</v>
      </c>
      <c r="K249" s="2">
        <v>100130</v>
      </c>
      <c r="L249" t="s">
        <v>33</v>
      </c>
      <c r="M249" s="2">
        <v>0.41</v>
      </c>
      <c r="N249" s="2">
        <v>0.8</v>
      </c>
      <c r="O249" s="2">
        <v>902.38</v>
      </c>
      <c r="P249" s="2">
        <v>4096.3</v>
      </c>
      <c r="Q249">
        <f t="shared" si="12"/>
        <v>10392.5</v>
      </c>
      <c r="R249">
        <f t="shared" ca="1" si="13"/>
        <v>53</v>
      </c>
      <c r="S249" s="2">
        <f t="shared" si="14"/>
        <v>-3315.3199999999997</v>
      </c>
      <c r="T249" s="18">
        <v>0.1</v>
      </c>
      <c r="U249">
        <f t="shared" si="15"/>
        <v>-3646.8519999999999</v>
      </c>
    </row>
    <row r="250" spans="1:21" x14ac:dyDescent="0.3">
      <c r="A250" t="s">
        <v>542</v>
      </c>
      <c r="B250" s="1">
        <v>44693</v>
      </c>
      <c r="C250" t="s">
        <v>543</v>
      </c>
      <c r="D250" s="3" t="s">
        <v>56</v>
      </c>
      <c r="E250" s="2">
        <v>20623</v>
      </c>
      <c r="F250" s="2">
        <v>7.9</v>
      </c>
      <c r="G250" s="4">
        <v>60</v>
      </c>
      <c r="H250" t="s">
        <v>26</v>
      </c>
      <c r="I250" t="s">
        <v>73</v>
      </c>
      <c r="J250" t="s">
        <v>37</v>
      </c>
      <c r="K250" s="2">
        <v>55525</v>
      </c>
      <c r="L250" t="s">
        <v>22</v>
      </c>
      <c r="M250" s="2">
        <v>0.1</v>
      </c>
      <c r="N250" s="2">
        <v>0.65</v>
      </c>
      <c r="O250" s="2">
        <v>6871.78</v>
      </c>
      <c r="P250" s="2">
        <v>0</v>
      </c>
      <c r="Q250">
        <f t="shared" si="12"/>
        <v>31727.692307692305</v>
      </c>
      <c r="R250">
        <f t="shared" ca="1" si="13"/>
        <v>46</v>
      </c>
      <c r="S250" s="2">
        <f t="shared" si="14"/>
        <v>-13751.220000000001</v>
      </c>
      <c r="T250" s="18">
        <v>0.1</v>
      </c>
      <c r="U250">
        <f t="shared" si="15"/>
        <v>-15126.342000000002</v>
      </c>
    </row>
    <row r="251" spans="1:21" x14ac:dyDescent="0.3">
      <c r="A251" t="s">
        <v>544</v>
      </c>
      <c r="B251" s="1">
        <v>44498</v>
      </c>
      <c r="C251" t="s">
        <v>545</v>
      </c>
      <c r="D251" s="3" t="s">
        <v>72</v>
      </c>
      <c r="E251" s="2">
        <v>3139</v>
      </c>
      <c r="F251" s="2">
        <v>19.5</v>
      </c>
      <c r="G251" s="4">
        <v>36</v>
      </c>
      <c r="H251" t="s">
        <v>19</v>
      </c>
      <c r="I251" t="s">
        <v>57</v>
      </c>
      <c r="J251" t="s">
        <v>47</v>
      </c>
      <c r="K251" s="2">
        <v>109818</v>
      </c>
      <c r="L251" t="s">
        <v>33</v>
      </c>
      <c r="M251" s="2">
        <v>0.1</v>
      </c>
      <c r="N251" s="2">
        <v>0.57999999999999996</v>
      </c>
      <c r="O251" s="2">
        <v>3751.1</v>
      </c>
      <c r="P251" s="2">
        <v>0</v>
      </c>
      <c r="Q251">
        <f t="shared" si="12"/>
        <v>5412.0689655172418</v>
      </c>
      <c r="R251">
        <f t="shared" ca="1" si="13"/>
        <v>52</v>
      </c>
      <c r="S251" s="2">
        <f t="shared" si="14"/>
        <v>612.09999999999991</v>
      </c>
      <c r="T251" s="18">
        <v>0.1</v>
      </c>
      <c r="U251">
        <f t="shared" si="15"/>
        <v>673.31</v>
      </c>
    </row>
    <row r="252" spans="1:21" x14ac:dyDescent="0.3">
      <c r="A252" t="s">
        <v>546</v>
      </c>
      <c r="B252" s="1">
        <v>44377</v>
      </c>
      <c r="C252" t="s">
        <v>547</v>
      </c>
      <c r="D252" s="3" t="s">
        <v>56</v>
      </c>
      <c r="E252" s="2">
        <v>32290</v>
      </c>
      <c r="F252" s="2">
        <v>8.8000000000000007</v>
      </c>
      <c r="G252" s="4">
        <v>36</v>
      </c>
      <c r="H252" t="s">
        <v>19</v>
      </c>
      <c r="I252" t="s">
        <v>57</v>
      </c>
      <c r="J252" t="s">
        <v>28</v>
      </c>
      <c r="K252" s="2">
        <v>144589</v>
      </c>
      <c r="L252" t="s">
        <v>33</v>
      </c>
      <c r="M252" s="2">
        <v>0.25</v>
      </c>
      <c r="N252" s="2">
        <v>0.63</v>
      </c>
      <c r="O252" s="2">
        <v>35131.519999999997</v>
      </c>
      <c r="P252" s="2">
        <v>0</v>
      </c>
      <c r="Q252">
        <f t="shared" si="12"/>
        <v>51253.968253968254</v>
      </c>
      <c r="R252">
        <f t="shared" ca="1" si="13"/>
        <v>56</v>
      </c>
      <c r="S252" s="2">
        <f t="shared" si="14"/>
        <v>2841.5199999999968</v>
      </c>
      <c r="T252" s="18">
        <v>0.1</v>
      </c>
      <c r="U252">
        <f t="shared" si="15"/>
        <v>3125.6719999999968</v>
      </c>
    </row>
    <row r="253" spans="1:21" x14ac:dyDescent="0.3">
      <c r="A253" t="s">
        <v>548</v>
      </c>
      <c r="B253" s="1">
        <v>44803</v>
      </c>
      <c r="C253" t="s">
        <v>549</v>
      </c>
      <c r="D253" s="3" t="s">
        <v>53</v>
      </c>
      <c r="E253" s="2">
        <v>19088</v>
      </c>
      <c r="F253" s="2">
        <v>11.8</v>
      </c>
      <c r="G253" s="4">
        <v>60</v>
      </c>
      <c r="H253" t="s">
        <v>26</v>
      </c>
      <c r="I253" t="s">
        <v>20</v>
      </c>
      <c r="J253" t="s">
        <v>21</v>
      </c>
      <c r="K253" s="2">
        <v>44334</v>
      </c>
      <c r="L253" t="s">
        <v>29</v>
      </c>
      <c r="M253" s="2">
        <v>0.16</v>
      </c>
      <c r="N253" s="2">
        <v>0.71</v>
      </c>
      <c r="O253" s="2">
        <v>9337.7000000000007</v>
      </c>
      <c r="P253" s="2">
        <v>0</v>
      </c>
      <c r="Q253">
        <f t="shared" si="12"/>
        <v>26884.507042253521</v>
      </c>
      <c r="R253">
        <f t="shared" ca="1" si="13"/>
        <v>42</v>
      </c>
      <c r="S253" s="2">
        <f t="shared" si="14"/>
        <v>-9750.2999999999993</v>
      </c>
      <c r="T253" s="18">
        <v>0.1</v>
      </c>
      <c r="U253">
        <f t="shared" si="15"/>
        <v>-10725.33</v>
      </c>
    </row>
    <row r="254" spans="1:21" x14ac:dyDescent="0.3">
      <c r="A254" t="s">
        <v>550</v>
      </c>
      <c r="B254" s="1">
        <v>44896</v>
      </c>
      <c r="C254" t="s">
        <v>551</v>
      </c>
      <c r="D254" s="3" t="s">
        <v>53</v>
      </c>
      <c r="E254" s="2">
        <v>34130</v>
      </c>
      <c r="F254" s="2">
        <v>11.2</v>
      </c>
      <c r="G254" s="4">
        <v>60</v>
      </c>
      <c r="H254" t="s">
        <v>19</v>
      </c>
      <c r="I254" t="s">
        <v>57</v>
      </c>
      <c r="J254" t="s">
        <v>37</v>
      </c>
      <c r="K254" s="2">
        <v>124715</v>
      </c>
      <c r="L254" t="s">
        <v>22</v>
      </c>
      <c r="M254" s="2">
        <v>0.11</v>
      </c>
      <c r="N254" s="2">
        <v>0.71</v>
      </c>
      <c r="O254" s="2">
        <v>37952.559999999998</v>
      </c>
      <c r="P254" s="2">
        <v>0</v>
      </c>
      <c r="Q254">
        <f t="shared" si="12"/>
        <v>48070.42253521127</v>
      </c>
      <c r="R254">
        <f t="shared" ca="1" si="13"/>
        <v>39</v>
      </c>
      <c r="S254" s="2">
        <f t="shared" si="14"/>
        <v>3822.5599999999977</v>
      </c>
      <c r="T254" s="18">
        <v>0.1</v>
      </c>
      <c r="U254">
        <f t="shared" si="15"/>
        <v>4204.815999999998</v>
      </c>
    </row>
    <row r="255" spans="1:21" x14ac:dyDescent="0.3">
      <c r="A255" t="s">
        <v>552</v>
      </c>
      <c r="B255" s="1">
        <v>45189</v>
      </c>
      <c r="C255" t="s">
        <v>553</v>
      </c>
      <c r="D255" s="3" t="s">
        <v>25</v>
      </c>
      <c r="E255" s="2">
        <v>33088</v>
      </c>
      <c r="F255" s="2">
        <v>23.9</v>
      </c>
      <c r="G255" s="4">
        <v>36</v>
      </c>
      <c r="H255" t="s">
        <v>19</v>
      </c>
      <c r="I255" t="s">
        <v>41</v>
      </c>
      <c r="J255" t="s">
        <v>32</v>
      </c>
      <c r="K255" s="2">
        <v>92767</v>
      </c>
      <c r="L255" t="s">
        <v>22</v>
      </c>
      <c r="M255" s="2">
        <v>0.28999999999999998</v>
      </c>
      <c r="N255" s="2">
        <v>0.85</v>
      </c>
      <c r="O255" s="2">
        <v>40996.03</v>
      </c>
      <c r="P255" s="2">
        <v>0</v>
      </c>
      <c r="Q255">
        <f t="shared" si="12"/>
        <v>38927.058823529413</v>
      </c>
      <c r="R255">
        <f t="shared" ca="1" si="13"/>
        <v>29</v>
      </c>
      <c r="S255" s="2">
        <f t="shared" si="14"/>
        <v>7908.0299999999988</v>
      </c>
      <c r="T255" s="18">
        <v>0.1</v>
      </c>
      <c r="U255">
        <f t="shared" si="15"/>
        <v>8698.8329999999987</v>
      </c>
    </row>
    <row r="256" spans="1:21" x14ac:dyDescent="0.3">
      <c r="A256" t="s">
        <v>554</v>
      </c>
      <c r="B256" s="1">
        <v>44387</v>
      </c>
      <c r="C256" t="s">
        <v>555</v>
      </c>
      <c r="D256" s="3" t="s">
        <v>65</v>
      </c>
      <c r="E256" s="2">
        <v>27292</v>
      </c>
      <c r="F256" s="2">
        <v>24.3</v>
      </c>
      <c r="G256" s="4">
        <v>36</v>
      </c>
      <c r="H256" t="s">
        <v>19</v>
      </c>
      <c r="I256" t="s">
        <v>57</v>
      </c>
      <c r="J256" t="s">
        <v>21</v>
      </c>
      <c r="K256" s="2">
        <v>36644</v>
      </c>
      <c r="L256" t="s">
        <v>29</v>
      </c>
      <c r="M256" s="2">
        <v>0.48</v>
      </c>
      <c r="N256" s="2">
        <v>0.84</v>
      </c>
      <c r="O256" s="2">
        <v>33923.96</v>
      </c>
      <c r="P256" s="2">
        <v>0</v>
      </c>
      <c r="Q256">
        <f t="shared" si="12"/>
        <v>32490.476190476191</v>
      </c>
      <c r="R256">
        <f t="shared" ca="1" si="13"/>
        <v>56</v>
      </c>
      <c r="S256" s="2">
        <f t="shared" si="14"/>
        <v>6631.9599999999991</v>
      </c>
      <c r="T256" s="18">
        <v>0.1</v>
      </c>
      <c r="U256">
        <f t="shared" si="15"/>
        <v>7295.1559999999999</v>
      </c>
    </row>
    <row r="257" spans="1:21" x14ac:dyDescent="0.3">
      <c r="A257" t="s">
        <v>556</v>
      </c>
      <c r="B257" s="1">
        <v>44449</v>
      </c>
      <c r="C257" t="s">
        <v>557</v>
      </c>
      <c r="D257" s="3" t="s">
        <v>53</v>
      </c>
      <c r="E257" s="2">
        <v>21670</v>
      </c>
      <c r="F257" s="2">
        <v>8.6999999999999993</v>
      </c>
      <c r="G257" s="4">
        <v>60</v>
      </c>
      <c r="H257" t="s">
        <v>19</v>
      </c>
      <c r="I257" t="s">
        <v>73</v>
      </c>
      <c r="J257" t="s">
        <v>47</v>
      </c>
      <c r="K257" s="2">
        <v>131154</v>
      </c>
      <c r="L257" t="s">
        <v>22</v>
      </c>
      <c r="M257" s="2">
        <v>0.23</v>
      </c>
      <c r="N257" s="2">
        <v>0.71</v>
      </c>
      <c r="O257" s="2">
        <v>23555.29</v>
      </c>
      <c r="P257" s="2">
        <v>0</v>
      </c>
      <c r="Q257">
        <f t="shared" si="12"/>
        <v>30521.12676056338</v>
      </c>
      <c r="R257">
        <f t="shared" ca="1" si="13"/>
        <v>54</v>
      </c>
      <c r="S257" s="2">
        <f t="shared" si="14"/>
        <v>1885.2900000000009</v>
      </c>
      <c r="T257" s="18">
        <v>0.1</v>
      </c>
      <c r="U257">
        <f t="shared" si="15"/>
        <v>2073.8190000000013</v>
      </c>
    </row>
    <row r="258" spans="1:21" x14ac:dyDescent="0.3">
      <c r="A258" t="s">
        <v>558</v>
      </c>
      <c r="B258" s="1">
        <v>45177</v>
      </c>
      <c r="C258" t="s">
        <v>559</v>
      </c>
      <c r="D258" s="3" t="s">
        <v>53</v>
      </c>
      <c r="E258" s="2">
        <v>4738</v>
      </c>
      <c r="F258" s="2">
        <v>5.4</v>
      </c>
      <c r="G258" s="4">
        <v>36</v>
      </c>
      <c r="H258" t="s">
        <v>19</v>
      </c>
      <c r="I258" t="s">
        <v>27</v>
      </c>
      <c r="J258" t="s">
        <v>47</v>
      </c>
      <c r="K258" s="2">
        <v>143237</v>
      </c>
      <c r="L258" t="s">
        <v>33</v>
      </c>
      <c r="M258" s="2">
        <v>0.36</v>
      </c>
      <c r="N258" s="2">
        <v>0.88</v>
      </c>
      <c r="O258" s="2">
        <v>4993.8500000000004</v>
      </c>
      <c r="P258" s="2">
        <v>0</v>
      </c>
      <c r="Q258">
        <f t="shared" si="12"/>
        <v>5384.090909090909</v>
      </c>
      <c r="R258">
        <f t="shared" ca="1" si="13"/>
        <v>30</v>
      </c>
      <c r="S258" s="2">
        <f t="shared" si="14"/>
        <v>255.85000000000036</v>
      </c>
      <c r="T258" s="18">
        <v>0.1</v>
      </c>
      <c r="U258">
        <f t="shared" si="15"/>
        <v>281.4350000000004</v>
      </c>
    </row>
    <row r="259" spans="1:21" x14ac:dyDescent="0.3">
      <c r="A259" t="s">
        <v>560</v>
      </c>
      <c r="B259" s="1">
        <v>45124</v>
      </c>
      <c r="C259" t="s">
        <v>561</v>
      </c>
      <c r="D259" s="3" t="s">
        <v>76</v>
      </c>
      <c r="E259" s="2">
        <v>3469</v>
      </c>
      <c r="F259" s="2">
        <v>19.399999999999999</v>
      </c>
      <c r="G259" s="4">
        <v>36</v>
      </c>
      <c r="H259" t="s">
        <v>26</v>
      </c>
      <c r="I259" t="s">
        <v>27</v>
      </c>
      <c r="J259" t="s">
        <v>21</v>
      </c>
      <c r="K259" s="2">
        <v>62933</v>
      </c>
      <c r="L259" t="s">
        <v>33</v>
      </c>
      <c r="M259" s="2">
        <v>0.36</v>
      </c>
      <c r="N259" s="2">
        <v>0.55000000000000004</v>
      </c>
      <c r="O259" s="2">
        <v>690.49</v>
      </c>
      <c r="P259" s="2">
        <v>0</v>
      </c>
      <c r="Q259">
        <f t="shared" ref="Q259:Q322" si="16">E259/N259</f>
        <v>6307.272727272727</v>
      </c>
      <c r="R259">
        <f t="shared" ref="R259:R322" ca="1" si="17">DATEDIF(B259, TODAY(), "M")</f>
        <v>32</v>
      </c>
      <c r="S259" s="2">
        <f t="shared" ref="S259:S322" si="18">(O259+P259)-E259</f>
        <v>-2778.51</v>
      </c>
      <c r="T259" s="18">
        <v>0.1</v>
      </c>
      <c r="U259">
        <f t="shared" ref="U259:U322" si="19">S259*(1+T259)</f>
        <v>-3056.3610000000003</v>
      </c>
    </row>
    <row r="260" spans="1:21" x14ac:dyDescent="0.3">
      <c r="A260" t="s">
        <v>562</v>
      </c>
      <c r="B260" s="1">
        <v>44324</v>
      </c>
      <c r="C260" t="s">
        <v>563</v>
      </c>
      <c r="D260" s="3" t="s">
        <v>72</v>
      </c>
      <c r="E260" s="2">
        <v>23534</v>
      </c>
      <c r="F260" s="2">
        <v>13.4</v>
      </c>
      <c r="G260" s="4">
        <v>60</v>
      </c>
      <c r="H260" t="s">
        <v>19</v>
      </c>
      <c r="I260" t="s">
        <v>57</v>
      </c>
      <c r="J260" t="s">
        <v>21</v>
      </c>
      <c r="K260" s="2">
        <v>73469</v>
      </c>
      <c r="L260" t="s">
        <v>29</v>
      </c>
      <c r="M260" s="2">
        <v>0.2</v>
      </c>
      <c r="N260" s="2">
        <v>0.61</v>
      </c>
      <c r="O260" s="2">
        <v>26687.56</v>
      </c>
      <c r="P260" s="2">
        <v>0</v>
      </c>
      <c r="Q260">
        <f t="shared" si="16"/>
        <v>38580.327868852459</v>
      </c>
      <c r="R260">
        <f t="shared" ca="1" si="17"/>
        <v>58</v>
      </c>
      <c r="S260" s="2">
        <f t="shared" si="18"/>
        <v>3153.5600000000013</v>
      </c>
      <c r="T260" s="18">
        <v>0.1</v>
      </c>
      <c r="U260">
        <f t="shared" si="19"/>
        <v>3468.9160000000015</v>
      </c>
    </row>
    <row r="261" spans="1:21" x14ac:dyDescent="0.3">
      <c r="A261" t="s">
        <v>564</v>
      </c>
      <c r="B261" s="1">
        <v>44214</v>
      </c>
      <c r="C261" t="s">
        <v>565</v>
      </c>
      <c r="D261" s="3" t="s">
        <v>76</v>
      </c>
      <c r="E261" s="2">
        <v>10017</v>
      </c>
      <c r="F261" s="2">
        <v>6.8</v>
      </c>
      <c r="G261" s="4">
        <v>36</v>
      </c>
      <c r="H261" t="s">
        <v>19</v>
      </c>
      <c r="I261" t="s">
        <v>73</v>
      </c>
      <c r="J261" t="s">
        <v>37</v>
      </c>
      <c r="K261" s="2">
        <v>63687</v>
      </c>
      <c r="L261" t="s">
        <v>22</v>
      </c>
      <c r="M261" s="2">
        <v>0.36</v>
      </c>
      <c r="N261" s="2">
        <v>0.87</v>
      </c>
      <c r="O261" s="2">
        <v>10698.16</v>
      </c>
      <c r="P261" s="2">
        <v>0</v>
      </c>
      <c r="Q261">
        <f t="shared" si="16"/>
        <v>11513.793103448275</v>
      </c>
      <c r="R261">
        <f t="shared" ca="1" si="17"/>
        <v>62</v>
      </c>
      <c r="S261" s="2">
        <f t="shared" si="18"/>
        <v>681.15999999999985</v>
      </c>
      <c r="T261" s="18">
        <v>0.1</v>
      </c>
      <c r="U261">
        <f t="shared" si="19"/>
        <v>749.27599999999995</v>
      </c>
    </row>
    <row r="262" spans="1:21" x14ac:dyDescent="0.3">
      <c r="A262" t="s">
        <v>566</v>
      </c>
      <c r="B262" s="1">
        <v>44762</v>
      </c>
      <c r="C262" t="s">
        <v>567</v>
      </c>
      <c r="D262" s="3" t="s">
        <v>72</v>
      </c>
      <c r="E262" s="2">
        <v>3808</v>
      </c>
      <c r="F262" s="2">
        <v>18.7</v>
      </c>
      <c r="G262" s="4">
        <v>60</v>
      </c>
      <c r="H262" t="s">
        <v>19</v>
      </c>
      <c r="I262" t="s">
        <v>84</v>
      </c>
      <c r="J262" t="s">
        <v>21</v>
      </c>
      <c r="K262" s="2">
        <v>136609</v>
      </c>
      <c r="L262" t="s">
        <v>22</v>
      </c>
      <c r="M262" s="2">
        <v>0.18</v>
      </c>
      <c r="N262" s="2">
        <v>0.67</v>
      </c>
      <c r="O262" s="2">
        <v>4520.1000000000004</v>
      </c>
      <c r="P262" s="2">
        <v>0</v>
      </c>
      <c r="Q262">
        <f t="shared" si="16"/>
        <v>5683.5820895522384</v>
      </c>
      <c r="R262">
        <f t="shared" ca="1" si="17"/>
        <v>43</v>
      </c>
      <c r="S262" s="2">
        <f t="shared" si="18"/>
        <v>712.10000000000036</v>
      </c>
      <c r="T262" s="18">
        <v>0.1</v>
      </c>
      <c r="U262">
        <f t="shared" si="19"/>
        <v>783.31000000000051</v>
      </c>
    </row>
    <row r="263" spans="1:21" x14ac:dyDescent="0.3">
      <c r="A263" t="s">
        <v>568</v>
      </c>
      <c r="B263" s="1">
        <v>44766</v>
      </c>
      <c r="C263" t="s">
        <v>569</v>
      </c>
      <c r="D263" s="3" t="s">
        <v>46</v>
      </c>
      <c r="E263" s="2">
        <v>13713</v>
      </c>
      <c r="F263" s="2">
        <v>15.9</v>
      </c>
      <c r="G263" s="4">
        <v>36</v>
      </c>
      <c r="H263" t="s">
        <v>19</v>
      </c>
      <c r="I263" t="s">
        <v>20</v>
      </c>
      <c r="J263" t="s">
        <v>32</v>
      </c>
      <c r="K263" s="2">
        <v>82656</v>
      </c>
      <c r="L263" t="s">
        <v>22</v>
      </c>
      <c r="M263" s="2">
        <v>0.15</v>
      </c>
      <c r="N263" s="2">
        <v>0.94</v>
      </c>
      <c r="O263" s="2">
        <v>15893.37</v>
      </c>
      <c r="P263" s="2">
        <v>0</v>
      </c>
      <c r="Q263">
        <f t="shared" si="16"/>
        <v>14588.297872340427</v>
      </c>
      <c r="R263">
        <f t="shared" ca="1" si="17"/>
        <v>43</v>
      </c>
      <c r="S263" s="2">
        <f t="shared" si="18"/>
        <v>2180.3700000000008</v>
      </c>
      <c r="T263" s="18">
        <v>0.1</v>
      </c>
      <c r="U263">
        <f t="shared" si="19"/>
        <v>2398.4070000000011</v>
      </c>
    </row>
    <row r="264" spans="1:21" x14ac:dyDescent="0.3">
      <c r="A264" t="s">
        <v>570</v>
      </c>
      <c r="B264" s="1">
        <v>44882</v>
      </c>
      <c r="C264" t="s">
        <v>571</v>
      </c>
      <c r="D264" s="3" t="s">
        <v>18</v>
      </c>
      <c r="E264" s="2">
        <v>3719</v>
      </c>
      <c r="F264" s="2">
        <v>24.6</v>
      </c>
      <c r="G264" s="4">
        <v>60</v>
      </c>
      <c r="H264" t="s">
        <v>19</v>
      </c>
      <c r="I264" t="s">
        <v>57</v>
      </c>
      <c r="J264" t="s">
        <v>37</v>
      </c>
      <c r="K264" s="2">
        <v>47375</v>
      </c>
      <c r="L264" t="s">
        <v>29</v>
      </c>
      <c r="M264" s="2">
        <v>0.38</v>
      </c>
      <c r="N264" s="2">
        <v>0.71</v>
      </c>
      <c r="O264" s="2">
        <v>4633.87</v>
      </c>
      <c r="P264" s="2">
        <v>0</v>
      </c>
      <c r="Q264">
        <f t="shared" si="16"/>
        <v>5238.0281690140846</v>
      </c>
      <c r="R264">
        <f t="shared" ca="1" si="17"/>
        <v>40</v>
      </c>
      <c r="S264" s="2">
        <f t="shared" si="18"/>
        <v>914.86999999999989</v>
      </c>
      <c r="T264" s="18">
        <v>0.1</v>
      </c>
      <c r="U264">
        <f t="shared" si="19"/>
        <v>1006.357</v>
      </c>
    </row>
    <row r="265" spans="1:21" x14ac:dyDescent="0.3">
      <c r="A265" t="s">
        <v>572</v>
      </c>
      <c r="B265" s="1">
        <v>44822</v>
      </c>
      <c r="C265" t="s">
        <v>573</v>
      </c>
      <c r="D265" s="3" t="s">
        <v>50</v>
      </c>
      <c r="E265" s="2">
        <v>23890</v>
      </c>
      <c r="F265" s="2">
        <v>9.5</v>
      </c>
      <c r="G265" s="4">
        <v>36</v>
      </c>
      <c r="H265" t="s">
        <v>19</v>
      </c>
      <c r="I265" t="s">
        <v>20</v>
      </c>
      <c r="J265" t="s">
        <v>28</v>
      </c>
      <c r="K265" s="2">
        <v>144019</v>
      </c>
      <c r="L265" t="s">
        <v>33</v>
      </c>
      <c r="M265" s="2">
        <v>0.15</v>
      </c>
      <c r="N265" s="2">
        <v>0.86</v>
      </c>
      <c r="O265" s="2">
        <v>26159.55</v>
      </c>
      <c r="P265" s="2">
        <v>0</v>
      </c>
      <c r="Q265">
        <f t="shared" si="16"/>
        <v>27779.069767441862</v>
      </c>
      <c r="R265">
        <f t="shared" ca="1" si="17"/>
        <v>42</v>
      </c>
      <c r="S265" s="2">
        <f t="shared" si="18"/>
        <v>2269.5499999999993</v>
      </c>
      <c r="T265" s="18">
        <v>0.1</v>
      </c>
      <c r="U265">
        <f t="shared" si="19"/>
        <v>2496.5049999999992</v>
      </c>
    </row>
    <row r="266" spans="1:21" x14ac:dyDescent="0.3">
      <c r="A266" t="s">
        <v>574</v>
      </c>
      <c r="B266" s="1">
        <v>45050</v>
      </c>
      <c r="C266" t="s">
        <v>575</v>
      </c>
      <c r="D266" s="3" t="s">
        <v>53</v>
      </c>
      <c r="E266" s="2">
        <v>12700</v>
      </c>
      <c r="F266" s="2">
        <v>13.1</v>
      </c>
      <c r="G266" s="4">
        <v>60</v>
      </c>
      <c r="H266" t="s">
        <v>26</v>
      </c>
      <c r="I266" t="s">
        <v>57</v>
      </c>
      <c r="J266" t="s">
        <v>32</v>
      </c>
      <c r="K266" s="2">
        <v>95206</v>
      </c>
      <c r="L266" t="s">
        <v>29</v>
      </c>
      <c r="M266" s="2">
        <v>0.5</v>
      </c>
      <c r="N266" s="2">
        <v>0.68</v>
      </c>
      <c r="O266" s="2">
        <v>1313.12</v>
      </c>
      <c r="P266" s="2">
        <v>0</v>
      </c>
      <c r="Q266">
        <f t="shared" si="16"/>
        <v>18676.470588235294</v>
      </c>
      <c r="R266">
        <f t="shared" ca="1" si="17"/>
        <v>34</v>
      </c>
      <c r="S266" s="2">
        <f t="shared" si="18"/>
        <v>-11386.880000000001</v>
      </c>
      <c r="T266" s="18">
        <v>0.1</v>
      </c>
      <c r="U266">
        <f t="shared" si="19"/>
        <v>-12525.568000000003</v>
      </c>
    </row>
    <row r="267" spans="1:21" x14ac:dyDescent="0.3">
      <c r="A267" t="s">
        <v>576</v>
      </c>
      <c r="B267" s="1">
        <v>45158</v>
      </c>
      <c r="C267" t="s">
        <v>577</v>
      </c>
      <c r="D267" s="3" t="s">
        <v>50</v>
      </c>
      <c r="E267" s="2">
        <v>37509</v>
      </c>
      <c r="F267" s="2">
        <v>15.9</v>
      </c>
      <c r="G267" s="4">
        <v>60</v>
      </c>
      <c r="H267" t="s">
        <v>19</v>
      </c>
      <c r="I267" t="s">
        <v>57</v>
      </c>
      <c r="J267" t="s">
        <v>37</v>
      </c>
      <c r="K267" s="2">
        <v>126462</v>
      </c>
      <c r="L267" t="s">
        <v>33</v>
      </c>
      <c r="M267" s="2">
        <v>0.17</v>
      </c>
      <c r="N267" s="2">
        <v>0.69</v>
      </c>
      <c r="O267" s="2">
        <v>43472.93</v>
      </c>
      <c r="P267" s="2">
        <v>0</v>
      </c>
      <c r="Q267">
        <f t="shared" si="16"/>
        <v>54360.869565217392</v>
      </c>
      <c r="R267">
        <f t="shared" ca="1" si="17"/>
        <v>30</v>
      </c>
      <c r="S267" s="2">
        <f t="shared" si="18"/>
        <v>5963.93</v>
      </c>
      <c r="T267" s="18">
        <v>0.1</v>
      </c>
      <c r="U267">
        <f t="shared" si="19"/>
        <v>6560.3230000000012</v>
      </c>
    </row>
    <row r="268" spans="1:21" x14ac:dyDescent="0.3">
      <c r="A268" t="s">
        <v>578</v>
      </c>
      <c r="B268" s="1">
        <v>44351</v>
      </c>
      <c r="C268" t="s">
        <v>579</v>
      </c>
      <c r="D268" s="3" t="s">
        <v>53</v>
      </c>
      <c r="E268" s="2">
        <v>37766</v>
      </c>
      <c r="F268" s="2">
        <v>20.8</v>
      </c>
      <c r="G268" s="4">
        <v>60</v>
      </c>
      <c r="H268" t="s">
        <v>19</v>
      </c>
      <c r="I268" t="s">
        <v>27</v>
      </c>
      <c r="J268" t="s">
        <v>37</v>
      </c>
      <c r="K268" s="2">
        <v>66607</v>
      </c>
      <c r="L268" t="s">
        <v>29</v>
      </c>
      <c r="M268" s="2">
        <v>0.34</v>
      </c>
      <c r="N268" s="2">
        <v>0.67</v>
      </c>
      <c r="O268" s="2">
        <v>45621.33</v>
      </c>
      <c r="P268" s="2">
        <v>0</v>
      </c>
      <c r="Q268">
        <f t="shared" si="16"/>
        <v>56367.164179104475</v>
      </c>
      <c r="R268">
        <f t="shared" ca="1" si="17"/>
        <v>57</v>
      </c>
      <c r="S268" s="2">
        <f t="shared" si="18"/>
        <v>7855.3300000000017</v>
      </c>
      <c r="T268" s="18">
        <v>0.1</v>
      </c>
      <c r="U268">
        <f t="shared" si="19"/>
        <v>8640.863000000003</v>
      </c>
    </row>
    <row r="269" spans="1:21" x14ac:dyDescent="0.3">
      <c r="A269" t="s">
        <v>580</v>
      </c>
      <c r="B269" s="1">
        <v>44686</v>
      </c>
      <c r="C269" t="s">
        <v>581</v>
      </c>
      <c r="D269" s="3" t="s">
        <v>76</v>
      </c>
      <c r="E269" s="2">
        <v>27705</v>
      </c>
      <c r="F269" s="2">
        <v>16</v>
      </c>
      <c r="G269" s="4">
        <v>60</v>
      </c>
      <c r="H269" t="s">
        <v>19</v>
      </c>
      <c r="I269" t="s">
        <v>20</v>
      </c>
      <c r="J269" t="s">
        <v>47</v>
      </c>
      <c r="K269" s="2">
        <v>113178</v>
      </c>
      <c r="L269" t="s">
        <v>33</v>
      </c>
      <c r="M269" s="2">
        <v>0.26</v>
      </c>
      <c r="N269" s="2">
        <v>0.82</v>
      </c>
      <c r="O269" s="2">
        <v>32137.8</v>
      </c>
      <c r="P269" s="2">
        <v>0</v>
      </c>
      <c r="Q269">
        <f t="shared" si="16"/>
        <v>33786.585365853658</v>
      </c>
      <c r="R269">
        <f t="shared" ca="1" si="17"/>
        <v>46</v>
      </c>
      <c r="S269" s="2">
        <f t="shared" si="18"/>
        <v>4432.7999999999993</v>
      </c>
      <c r="T269" s="18">
        <v>0.1</v>
      </c>
      <c r="U269">
        <f t="shared" si="19"/>
        <v>4876.08</v>
      </c>
    </row>
    <row r="270" spans="1:21" x14ac:dyDescent="0.3">
      <c r="A270" t="s">
        <v>582</v>
      </c>
      <c r="B270" s="1">
        <v>44981</v>
      </c>
      <c r="C270" t="s">
        <v>583</v>
      </c>
      <c r="D270" s="3" t="s">
        <v>18</v>
      </c>
      <c r="E270" s="2">
        <v>19787</v>
      </c>
      <c r="F270" s="2">
        <v>17.3</v>
      </c>
      <c r="G270" s="4">
        <v>36</v>
      </c>
      <c r="H270" t="s">
        <v>19</v>
      </c>
      <c r="I270" t="s">
        <v>73</v>
      </c>
      <c r="J270" t="s">
        <v>37</v>
      </c>
      <c r="K270" s="2">
        <v>53993</v>
      </c>
      <c r="L270" t="s">
        <v>22</v>
      </c>
      <c r="M270" s="2">
        <v>0.15</v>
      </c>
      <c r="N270" s="2">
        <v>0.75</v>
      </c>
      <c r="O270" s="2">
        <v>23210.15</v>
      </c>
      <c r="P270" s="2">
        <v>0</v>
      </c>
      <c r="Q270">
        <f t="shared" si="16"/>
        <v>26382.666666666668</v>
      </c>
      <c r="R270">
        <f t="shared" ca="1" si="17"/>
        <v>36</v>
      </c>
      <c r="S270" s="2">
        <f t="shared" si="18"/>
        <v>3423.1500000000015</v>
      </c>
      <c r="T270" s="18">
        <v>0.1</v>
      </c>
      <c r="U270">
        <f t="shared" si="19"/>
        <v>3765.465000000002</v>
      </c>
    </row>
    <row r="271" spans="1:21" x14ac:dyDescent="0.3">
      <c r="A271" t="s">
        <v>584</v>
      </c>
      <c r="B271" s="1">
        <v>44442</v>
      </c>
      <c r="C271" t="s">
        <v>585</v>
      </c>
      <c r="D271" s="3" t="s">
        <v>76</v>
      </c>
      <c r="E271" s="2">
        <v>27588</v>
      </c>
      <c r="F271" s="2">
        <v>9.5</v>
      </c>
      <c r="G271" s="4">
        <v>36</v>
      </c>
      <c r="H271" t="s">
        <v>81</v>
      </c>
      <c r="I271" t="s">
        <v>73</v>
      </c>
      <c r="J271" t="s">
        <v>32</v>
      </c>
      <c r="K271" s="2">
        <v>74386</v>
      </c>
      <c r="L271" t="s">
        <v>22</v>
      </c>
      <c r="M271" s="2">
        <v>0.11</v>
      </c>
      <c r="N271" s="2">
        <v>0.92</v>
      </c>
      <c r="O271" s="2">
        <v>7479.55</v>
      </c>
      <c r="P271" s="2">
        <v>6127.76</v>
      </c>
      <c r="Q271">
        <f t="shared" si="16"/>
        <v>29986.956521739128</v>
      </c>
      <c r="R271">
        <f t="shared" ca="1" si="17"/>
        <v>54</v>
      </c>
      <c r="S271" s="2">
        <f t="shared" si="18"/>
        <v>-13980.689999999999</v>
      </c>
      <c r="T271" s="18">
        <v>0.1</v>
      </c>
      <c r="U271">
        <f t="shared" si="19"/>
        <v>-15378.759</v>
      </c>
    </row>
    <row r="272" spans="1:21" x14ac:dyDescent="0.3">
      <c r="A272" t="s">
        <v>586</v>
      </c>
      <c r="B272" s="1">
        <v>45259</v>
      </c>
      <c r="C272" t="s">
        <v>587</v>
      </c>
      <c r="D272" s="3" t="s">
        <v>76</v>
      </c>
      <c r="E272" s="2">
        <v>27123</v>
      </c>
      <c r="F272" s="2">
        <v>21.9</v>
      </c>
      <c r="G272" s="4">
        <v>60</v>
      </c>
      <c r="H272" t="s">
        <v>19</v>
      </c>
      <c r="I272" t="s">
        <v>73</v>
      </c>
      <c r="J272" t="s">
        <v>21</v>
      </c>
      <c r="K272" s="2">
        <v>76287</v>
      </c>
      <c r="L272" t="s">
        <v>22</v>
      </c>
      <c r="M272" s="2">
        <v>0.35</v>
      </c>
      <c r="N272" s="2">
        <v>0.61</v>
      </c>
      <c r="O272" s="2">
        <v>33062.94</v>
      </c>
      <c r="P272" s="2">
        <v>0</v>
      </c>
      <c r="Q272">
        <f t="shared" si="16"/>
        <v>44463.934426229513</v>
      </c>
      <c r="R272">
        <f t="shared" ca="1" si="17"/>
        <v>27</v>
      </c>
      <c r="S272" s="2">
        <f t="shared" si="18"/>
        <v>5939.9400000000023</v>
      </c>
      <c r="T272" s="18">
        <v>0.1</v>
      </c>
      <c r="U272">
        <f t="shared" si="19"/>
        <v>6533.9340000000029</v>
      </c>
    </row>
    <row r="273" spans="1:21" x14ac:dyDescent="0.3">
      <c r="A273" t="s">
        <v>588</v>
      </c>
      <c r="B273" s="1">
        <v>44955</v>
      </c>
      <c r="C273" t="s">
        <v>589</v>
      </c>
      <c r="D273" s="3" t="s">
        <v>72</v>
      </c>
      <c r="E273" s="2">
        <v>34062</v>
      </c>
      <c r="F273" s="2">
        <v>13.6</v>
      </c>
      <c r="G273" s="4">
        <v>36</v>
      </c>
      <c r="H273" t="s">
        <v>81</v>
      </c>
      <c r="I273" t="s">
        <v>27</v>
      </c>
      <c r="J273" t="s">
        <v>32</v>
      </c>
      <c r="K273" s="2">
        <v>116724</v>
      </c>
      <c r="L273" t="s">
        <v>29</v>
      </c>
      <c r="M273" s="2">
        <v>0.42</v>
      </c>
      <c r="N273" s="2">
        <v>0.55000000000000004</v>
      </c>
      <c r="O273" s="2">
        <v>12667.87</v>
      </c>
      <c r="P273" s="2">
        <v>12334.49</v>
      </c>
      <c r="Q273">
        <f t="shared" si="16"/>
        <v>61930.909090909088</v>
      </c>
      <c r="R273">
        <f t="shared" ca="1" si="17"/>
        <v>37</v>
      </c>
      <c r="S273" s="2">
        <f t="shared" si="18"/>
        <v>-9059.64</v>
      </c>
      <c r="T273" s="18">
        <v>0.1</v>
      </c>
      <c r="U273">
        <f t="shared" si="19"/>
        <v>-9965.6039999999994</v>
      </c>
    </row>
    <row r="274" spans="1:21" x14ac:dyDescent="0.3">
      <c r="A274" t="s">
        <v>590</v>
      </c>
      <c r="B274" s="1">
        <v>44734</v>
      </c>
      <c r="C274" t="s">
        <v>591</v>
      </c>
      <c r="D274" s="3" t="s">
        <v>65</v>
      </c>
      <c r="E274" s="2">
        <v>11177</v>
      </c>
      <c r="F274" s="2">
        <v>7.8</v>
      </c>
      <c r="G274" s="4">
        <v>36</v>
      </c>
      <c r="H274" t="s">
        <v>19</v>
      </c>
      <c r="I274" t="s">
        <v>57</v>
      </c>
      <c r="J274" t="s">
        <v>28</v>
      </c>
      <c r="K274" s="2">
        <v>128132</v>
      </c>
      <c r="L274" t="s">
        <v>29</v>
      </c>
      <c r="M274" s="2">
        <v>0.44</v>
      </c>
      <c r="N274" s="2">
        <v>0.68</v>
      </c>
      <c r="O274" s="2">
        <v>12048.81</v>
      </c>
      <c r="P274" s="2">
        <v>0</v>
      </c>
      <c r="Q274">
        <f t="shared" si="16"/>
        <v>16436.764705882353</v>
      </c>
      <c r="R274">
        <f t="shared" ca="1" si="17"/>
        <v>44</v>
      </c>
      <c r="S274" s="2">
        <f t="shared" si="18"/>
        <v>871.80999999999949</v>
      </c>
      <c r="T274" s="18">
        <v>0.1</v>
      </c>
      <c r="U274">
        <f t="shared" si="19"/>
        <v>958.99099999999953</v>
      </c>
    </row>
    <row r="275" spans="1:21" x14ac:dyDescent="0.3">
      <c r="A275" t="s">
        <v>592</v>
      </c>
      <c r="B275" s="1">
        <v>45117</v>
      </c>
      <c r="C275" t="s">
        <v>593</v>
      </c>
      <c r="D275" s="3" t="s">
        <v>56</v>
      </c>
      <c r="E275" s="2">
        <v>22727</v>
      </c>
      <c r="F275" s="2">
        <v>18.3</v>
      </c>
      <c r="G275" s="4">
        <v>36</v>
      </c>
      <c r="H275" t="s">
        <v>26</v>
      </c>
      <c r="I275" t="s">
        <v>36</v>
      </c>
      <c r="J275" t="s">
        <v>37</v>
      </c>
      <c r="K275" s="2">
        <v>123308</v>
      </c>
      <c r="L275" t="s">
        <v>29</v>
      </c>
      <c r="M275" s="2">
        <v>0.28999999999999998</v>
      </c>
      <c r="N275" s="2">
        <v>0.78</v>
      </c>
      <c r="O275" s="2">
        <v>9155.07</v>
      </c>
      <c r="P275" s="2">
        <v>0</v>
      </c>
      <c r="Q275">
        <f t="shared" si="16"/>
        <v>29137.179487179485</v>
      </c>
      <c r="R275">
        <f t="shared" ca="1" si="17"/>
        <v>32</v>
      </c>
      <c r="S275" s="2">
        <f t="shared" si="18"/>
        <v>-13571.93</v>
      </c>
      <c r="T275" s="18">
        <v>0.1</v>
      </c>
      <c r="U275">
        <f t="shared" si="19"/>
        <v>-14929.123000000001</v>
      </c>
    </row>
    <row r="276" spans="1:21" x14ac:dyDescent="0.3">
      <c r="A276" t="s">
        <v>594</v>
      </c>
      <c r="B276" s="1">
        <v>44604</v>
      </c>
      <c r="C276" t="s">
        <v>595</v>
      </c>
      <c r="D276" s="3" t="s">
        <v>25</v>
      </c>
      <c r="E276" s="2">
        <v>31220</v>
      </c>
      <c r="F276" s="2">
        <v>9.3000000000000007</v>
      </c>
      <c r="G276" s="4">
        <v>36</v>
      </c>
      <c r="H276" t="s">
        <v>19</v>
      </c>
      <c r="I276" t="s">
        <v>73</v>
      </c>
      <c r="J276" t="s">
        <v>37</v>
      </c>
      <c r="K276" s="2">
        <v>126393</v>
      </c>
      <c r="L276" t="s">
        <v>22</v>
      </c>
      <c r="M276" s="2">
        <v>0.41</v>
      </c>
      <c r="N276" s="2">
        <v>0.89</v>
      </c>
      <c r="O276" s="2">
        <v>34123.46</v>
      </c>
      <c r="P276" s="2">
        <v>0</v>
      </c>
      <c r="Q276">
        <f t="shared" si="16"/>
        <v>35078.651685393255</v>
      </c>
      <c r="R276">
        <f t="shared" ca="1" si="17"/>
        <v>49</v>
      </c>
      <c r="S276" s="2">
        <f t="shared" si="18"/>
        <v>2903.4599999999991</v>
      </c>
      <c r="T276" s="18">
        <v>0.1</v>
      </c>
      <c r="U276">
        <f t="shared" si="19"/>
        <v>3193.8059999999991</v>
      </c>
    </row>
    <row r="277" spans="1:21" x14ac:dyDescent="0.3">
      <c r="A277" t="s">
        <v>596</v>
      </c>
      <c r="B277" s="1">
        <v>44721</v>
      </c>
      <c r="C277" t="s">
        <v>597</v>
      </c>
      <c r="D277" s="3" t="s">
        <v>50</v>
      </c>
      <c r="E277" s="2">
        <v>10882</v>
      </c>
      <c r="F277" s="2">
        <v>7</v>
      </c>
      <c r="G277" s="4">
        <v>36</v>
      </c>
      <c r="H277" t="s">
        <v>26</v>
      </c>
      <c r="I277" t="s">
        <v>73</v>
      </c>
      <c r="J277" t="s">
        <v>37</v>
      </c>
      <c r="K277" s="2">
        <v>106312</v>
      </c>
      <c r="L277" t="s">
        <v>33</v>
      </c>
      <c r="M277" s="2">
        <v>0.37</v>
      </c>
      <c r="N277" s="2">
        <v>0.66</v>
      </c>
      <c r="O277" s="2">
        <v>3592.5</v>
      </c>
      <c r="P277" s="2">
        <v>0</v>
      </c>
      <c r="Q277">
        <f t="shared" si="16"/>
        <v>16487.878787878788</v>
      </c>
      <c r="R277">
        <f t="shared" ca="1" si="17"/>
        <v>45</v>
      </c>
      <c r="S277" s="2">
        <f t="shared" si="18"/>
        <v>-7289.5</v>
      </c>
      <c r="T277" s="18">
        <v>0.1</v>
      </c>
      <c r="U277">
        <f t="shared" si="19"/>
        <v>-8018.4500000000007</v>
      </c>
    </row>
    <row r="278" spans="1:21" x14ac:dyDescent="0.3">
      <c r="A278" t="s">
        <v>598</v>
      </c>
      <c r="B278" s="1">
        <v>45024</v>
      </c>
      <c r="C278" t="s">
        <v>599</v>
      </c>
      <c r="D278" s="3" t="s">
        <v>46</v>
      </c>
      <c r="E278" s="2">
        <v>2136</v>
      </c>
      <c r="F278" s="2">
        <v>22.2</v>
      </c>
      <c r="G278" s="4">
        <v>60</v>
      </c>
      <c r="H278" t="s">
        <v>19</v>
      </c>
      <c r="I278" t="s">
        <v>84</v>
      </c>
      <c r="J278" t="s">
        <v>37</v>
      </c>
      <c r="K278" s="2">
        <v>128371</v>
      </c>
      <c r="L278" t="s">
        <v>22</v>
      </c>
      <c r="M278" s="2">
        <v>0.39</v>
      </c>
      <c r="N278" s="2">
        <v>0.79</v>
      </c>
      <c r="O278" s="2">
        <v>2610.19</v>
      </c>
      <c r="P278" s="2">
        <v>0</v>
      </c>
      <c r="Q278">
        <f t="shared" si="16"/>
        <v>2703.7974683544303</v>
      </c>
      <c r="R278">
        <f t="shared" ca="1" si="17"/>
        <v>35</v>
      </c>
      <c r="S278" s="2">
        <f t="shared" si="18"/>
        <v>474.19000000000005</v>
      </c>
      <c r="T278" s="18">
        <v>0.1</v>
      </c>
      <c r="U278">
        <f t="shared" si="19"/>
        <v>521.60900000000015</v>
      </c>
    </row>
    <row r="279" spans="1:21" x14ac:dyDescent="0.3">
      <c r="A279" t="s">
        <v>600</v>
      </c>
      <c r="B279" s="1">
        <v>45099</v>
      </c>
      <c r="C279" t="s">
        <v>601</v>
      </c>
      <c r="D279" s="3" t="s">
        <v>53</v>
      </c>
      <c r="E279" s="2">
        <v>35832</v>
      </c>
      <c r="F279" s="2">
        <v>14.2</v>
      </c>
      <c r="G279" s="4">
        <v>60</v>
      </c>
      <c r="H279" t="s">
        <v>19</v>
      </c>
      <c r="I279" t="s">
        <v>57</v>
      </c>
      <c r="J279" t="s">
        <v>47</v>
      </c>
      <c r="K279" s="2">
        <v>105324</v>
      </c>
      <c r="L279" t="s">
        <v>22</v>
      </c>
      <c r="M279" s="2">
        <v>0.3</v>
      </c>
      <c r="N279" s="2">
        <v>0.66</v>
      </c>
      <c r="O279" s="2">
        <v>40920.14</v>
      </c>
      <c r="P279" s="2">
        <v>0</v>
      </c>
      <c r="Q279">
        <f t="shared" si="16"/>
        <v>54290.909090909088</v>
      </c>
      <c r="R279">
        <f t="shared" ca="1" si="17"/>
        <v>32</v>
      </c>
      <c r="S279" s="2">
        <f t="shared" si="18"/>
        <v>5088.1399999999994</v>
      </c>
      <c r="T279" s="18">
        <v>0.1</v>
      </c>
      <c r="U279">
        <f t="shared" si="19"/>
        <v>5596.9539999999997</v>
      </c>
    </row>
    <row r="280" spans="1:21" x14ac:dyDescent="0.3">
      <c r="A280" t="s">
        <v>602</v>
      </c>
      <c r="B280" s="1">
        <v>44232</v>
      </c>
      <c r="C280" t="s">
        <v>603</v>
      </c>
      <c r="D280" s="3" t="s">
        <v>76</v>
      </c>
      <c r="E280" s="2">
        <v>32966</v>
      </c>
      <c r="F280" s="2">
        <v>20</v>
      </c>
      <c r="G280" s="4">
        <v>60</v>
      </c>
      <c r="H280" t="s">
        <v>26</v>
      </c>
      <c r="I280" t="s">
        <v>20</v>
      </c>
      <c r="J280" t="s">
        <v>47</v>
      </c>
      <c r="K280" s="2">
        <v>101196</v>
      </c>
      <c r="L280" t="s">
        <v>33</v>
      </c>
      <c r="M280" s="2">
        <v>0.35</v>
      </c>
      <c r="N280" s="2">
        <v>0.78</v>
      </c>
      <c r="O280" s="2">
        <v>6322.07</v>
      </c>
      <c r="P280" s="2">
        <v>0</v>
      </c>
      <c r="Q280">
        <f t="shared" si="16"/>
        <v>42264.102564102563</v>
      </c>
      <c r="R280">
        <f t="shared" ca="1" si="17"/>
        <v>61</v>
      </c>
      <c r="S280" s="2">
        <f t="shared" si="18"/>
        <v>-26643.93</v>
      </c>
      <c r="T280" s="18">
        <v>0.1</v>
      </c>
      <c r="U280">
        <f t="shared" si="19"/>
        <v>-29308.323000000004</v>
      </c>
    </row>
    <row r="281" spans="1:21" x14ac:dyDescent="0.3">
      <c r="A281" t="s">
        <v>604</v>
      </c>
      <c r="B281" s="1">
        <v>44881</v>
      </c>
      <c r="C281" t="s">
        <v>605</v>
      </c>
      <c r="D281" s="3" t="s">
        <v>65</v>
      </c>
      <c r="E281" s="2">
        <v>8009</v>
      </c>
      <c r="F281" s="2">
        <v>10.8</v>
      </c>
      <c r="G281" s="4">
        <v>60</v>
      </c>
      <c r="H281" t="s">
        <v>26</v>
      </c>
      <c r="I281" t="s">
        <v>27</v>
      </c>
      <c r="J281" t="s">
        <v>21</v>
      </c>
      <c r="K281" s="2">
        <v>100014</v>
      </c>
      <c r="L281" t="s">
        <v>33</v>
      </c>
      <c r="M281" s="2">
        <v>0.42</v>
      </c>
      <c r="N281" s="2">
        <v>0.9</v>
      </c>
      <c r="O281" s="2">
        <v>2353.41</v>
      </c>
      <c r="P281" s="2">
        <v>0</v>
      </c>
      <c r="Q281">
        <f t="shared" si="16"/>
        <v>8898.8888888888887</v>
      </c>
      <c r="R281">
        <f t="shared" ca="1" si="17"/>
        <v>40</v>
      </c>
      <c r="S281" s="2">
        <f t="shared" si="18"/>
        <v>-5655.59</v>
      </c>
      <c r="T281" s="18">
        <v>0.1</v>
      </c>
      <c r="U281">
        <f t="shared" si="19"/>
        <v>-6221.1490000000003</v>
      </c>
    </row>
    <row r="282" spans="1:21" x14ac:dyDescent="0.3">
      <c r="A282" t="s">
        <v>606</v>
      </c>
      <c r="B282" s="1">
        <v>44216</v>
      </c>
      <c r="C282" t="s">
        <v>607</v>
      </c>
      <c r="D282" s="3" t="s">
        <v>76</v>
      </c>
      <c r="E282" s="2">
        <v>13987</v>
      </c>
      <c r="F282" s="2">
        <v>20.7</v>
      </c>
      <c r="G282" s="4">
        <v>36</v>
      </c>
      <c r="H282" t="s">
        <v>19</v>
      </c>
      <c r="I282" t="s">
        <v>73</v>
      </c>
      <c r="J282" t="s">
        <v>37</v>
      </c>
      <c r="K282" s="2">
        <v>38210</v>
      </c>
      <c r="L282" t="s">
        <v>33</v>
      </c>
      <c r="M282" s="2">
        <v>0.26</v>
      </c>
      <c r="N282" s="2">
        <v>0.6</v>
      </c>
      <c r="O282" s="2">
        <v>16882.310000000001</v>
      </c>
      <c r="P282" s="2">
        <v>0</v>
      </c>
      <c r="Q282">
        <f t="shared" si="16"/>
        <v>23311.666666666668</v>
      </c>
      <c r="R282">
        <f t="shared" ca="1" si="17"/>
        <v>61</v>
      </c>
      <c r="S282" s="2">
        <f t="shared" si="18"/>
        <v>2895.3100000000013</v>
      </c>
      <c r="T282" s="18">
        <v>0.1</v>
      </c>
      <c r="U282">
        <f t="shared" si="19"/>
        <v>3184.8410000000017</v>
      </c>
    </row>
    <row r="283" spans="1:21" x14ac:dyDescent="0.3">
      <c r="A283" t="s">
        <v>608</v>
      </c>
      <c r="B283" s="1">
        <v>44517</v>
      </c>
      <c r="C283" t="s">
        <v>609</v>
      </c>
      <c r="D283" s="3" t="s">
        <v>18</v>
      </c>
      <c r="E283" s="2">
        <v>38311</v>
      </c>
      <c r="F283" s="2">
        <v>7.2</v>
      </c>
      <c r="G283" s="4">
        <v>36</v>
      </c>
      <c r="H283" t="s">
        <v>19</v>
      </c>
      <c r="I283" t="s">
        <v>36</v>
      </c>
      <c r="J283" t="s">
        <v>28</v>
      </c>
      <c r="K283" s="2">
        <v>40922</v>
      </c>
      <c r="L283" t="s">
        <v>33</v>
      </c>
      <c r="M283" s="2">
        <v>0.42</v>
      </c>
      <c r="N283" s="2">
        <v>0.68</v>
      </c>
      <c r="O283" s="2">
        <v>41069.39</v>
      </c>
      <c r="P283" s="2">
        <v>0</v>
      </c>
      <c r="Q283">
        <f t="shared" si="16"/>
        <v>56339.705882352937</v>
      </c>
      <c r="R283">
        <f t="shared" ca="1" si="17"/>
        <v>52</v>
      </c>
      <c r="S283" s="2">
        <f t="shared" si="18"/>
        <v>2758.3899999999994</v>
      </c>
      <c r="T283" s="18">
        <v>0.1</v>
      </c>
      <c r="U283">
        <f t="shared" si="19"/>
        <v>3034.2289999999998</v>
      </c>
    </row>
    <row r="284" spans="1:21" x14ac:dyDescent="0.3">
      <c r="A284" t="s">
        <v>610</v>
      </c>
      <c r="B284" s="1">
        <v>44708</v>
      </c>
      <c r="C284" t="s">
        <v>611</v>
      </c>
      <c r="D284" s="3" t="s">
        <v>72</v>
      </c>
      <c r="E284" s="2">
        <v>32575</v>
      </c>
      <c r="F284" s="2">
        <v>12.1</v>
      </c>
      <c r="G284" s="4">
        <v>60</v>
      </c>
      <c r="H284" t="s">
        <v>19</v>
      </c>
      <c r="I284" t="s">
        <v>41</v>
      </c>
      <c r="J284" t="s">
        <v>21</v>
      </c>
      <c r="K284" s="2">
        <v>66289</v>
      </c>
      <c r="L284" t="s">
        <v>22</v>
      </c>
      <c r="M284" s="2">
        <v>0.34</v>
      </c>
      <c r="N284" s="2">
        <v>0.95</v>
      </c>
      <c r="O284" s="2">
        <v>36516.57</v>
      </c>
      <c r="P284" s="2">
        <v>0</v>
      </c>
      <c r="Q284">
        <f t="shared" si="16"/>
        <v>34289.473684210527</v>
      </c>
      <c r="R284">
        <f t="shared" ca="1" si="17"/>
        <v>45</v>
      </c>
      <c r="S284" s="2">
        <f t="shared" si="18"/>
        <v>3941.5699999999997</v>
      </c>
      <c r="T284" s="18">
        <v>0.1</v>
      </c>
      <c r="U284">
        <f t="shared" si="19"/>
        <v>4335.7269999999999</v>
      </c>
    </row>
    <row r="285" spans="1:21" x14ac:dyDescent="0.3">
      <c r="A285" t="s">
        <v>612</v>
      </c>
      <c r="B285" s="1">
        <v>44596</v>
      </c>
      <c r="C285" t="s">
        <v>613</v>
      </c>
      <c r="D285" s="3" t="s">
        <v>46</v>
      </c>
      <c r="E285" s="2">
        <v>2007</v>
      </c>
      <c r="F285" s="2">
        <v>24.6</v>
      </c>
      <c r="G285" s="4">
        <v>36</v>
      </c>
      <c r="H285" t="s">
        <v>26</v>
      </c>
      <c r="I285" t="s">
        <v>57</v>
      </c>
      <c r="J285" t="s">
        <v>37</v>
      </c>
      <c r="K285" s="2">
        <v>63340</v>
      </c>
      <c r="L285" t="s">
        <v>29</v>
      </c>
      <c r="M285" s="2">
        <v>0.17</v>
      </c>
      <c r="N285" s="2">
        <v>0.89</v>
      </c>
      <c r="O285" s="2">
        <v>182.76</v>
      </c>
      <c r="P285" s="2">
        <v>0</v>
      </c>
      <c r="Q285">
        <f t="shared" si="16"/>
        <v>2255.0561797752807</v>
      </c>
      <c r="R285">
        <f t="shared" ca="1" si="17"/>
        <v>49</v>
      </c>
      <c r="S285" s="2">
        <f t="shared" si="18"/>
        <v>-1824.24</v>
      </c>
      <c r="T285" s="18">
        <v>0.1</v>
      </c>
      <c r="U285">
        <f t="shared" si="19"/>
        <v>-2006.6640000000002</v>
      </c>
    </row>
    <row r="286" spans="1:21" x14ac:dyDescent="0.3">
      <c r="A286" t="s">
        <v>614</v>
      </c>
      <c r="B286" s="1">
        <v>44850</v>
      </c>
      <c r="C286" t="s">
        <v>615</v>
      </c>
      <c r="D286" s="3" t="s">
        <v>56</v>
      </c>
      <c r="E286" s="2">
        <v>6445</v>
      </c>
      <c r="F286" s="2">
        <v>20.9</v>
      </c>
      <c r="G286" s="4">
        <v>36</v>
      </c>
      <c r="H286" t="s">
        <v>19</v>
      </c>
      <c r="I286" t="s">
        <v>57</v>
      </c>
      <c r="J286" t="s">
        <v>47</v>
      </c>
      <c r="K286" s="2">
        <v>69850</v>
      </c>
      <c r="L286" t="s">
        <v>22</v>
      </c>
      <c r="M286" s="2">
        <v>0.11</v>
      </c>
      <c r="N286" s="2">
        <v>0.75</v>
      </c>
      <c r="O286" s="2">
        <v>7792</v>
      </c>
      <c r="P286" s="2">
        <v>0</v>
      </c>
      <c r="Q286">
        <f t="shared" si="16"/>
        <v>8593.3333333333339</v>
      </c>
      <c r="R286">
        <f t="shared" ca="1" si="17"/>
        <v>41</v>
      </c>
      <c r="S286" s="2">
        <f t="shared" si="18"/>
        <v>1347</v>
      </c>
      <c r="T286" s="18">
        <v>0.1</v>
      </c>
      <c r="U286">
        <f t="shared" si="19"/>
        <v>1481.7</v>
      </c>
    </row>
    <row r="287" spans="1:21" x14ac:dyDescent="0.3">
      <c r="A287" t="s">
        <v>616</v>
      </c>
      <c r="B287" s="1">
        <v>45168</v>
      </c>
      <c r="C287" t="s">
        <v>617</v>
      </c>
      <c r="D287" s="3" t="s">
        <v>18</v>
      </c>
      <c r="E287" s="2">
        <v>11706</v>
      </c>
      <c r="F287" s="2">
        <v>14.9</v>
      </c>
      <c r="G287" s="4">
        <v>60</v>
      </c>
      <c r="H287" t="s">
        <v>19</v>
      </c>
      <c r="I287" t="s">
        <v>57</v>
      </c>
      <c r="J287" t="s">
        <v>28</v>
      </c>
      <c r="K287" s="2">
        <v>86984</v>
      </c>
      <c r="L287" t="s">
        <v>33</v>
      </c>
      <c r="M287" s="2">
        <v>0.25</v>
      </c>
      <c r="N287" s="2">
        <v>0.73</v>
      </c>
      <c r="O287" s="2">
        <v>13450.19</v>
      </c>
      <c r="P287" s="2">
        <v>0</v>
      </c>
      <c r="Q287">
        <f t="shared" si="16"/>
        <v>16035.616438356165</v>
      </c>
      <c r="R287">
        <f t="shared" ca="1" si="17"/>
        <v>30</v>
      </c>
      <c r="S287" s="2">
        <f t="shared" si="18"/>
        <v>1744.1900000000005</v>
      </c>
      <c r="T287" s="18">
        <v>0.1</v>
      </c>
      <c r="U287">
        <f t="shared" si="19"/>
        <v>1918.6090000000006</v>
      </c>
    </row>
    <row r="288" spans="1:21" x14ac:dyDescent="0.3">
      <c r="A288" t="s">
        <v>618</v>
      </c>
      <c r="B288" s="1">
        <v>44667</v>
      </c>
      <c r="C288" t="s">
        <v>619</v>
      </c>
      <c r="D288" s="3" t="s">
        <v>40</v>
      </c>
      <c r="E288" s="2">
        <v>30257</v>
      </c>
      <c r="F288" s="2">
        <v>11.8</v>
      </c>
      <c r="G288" s="4">
        <v>36</v>
      </c>
      <c r="H288" t="s">
        <v>26</v>
      </c>
      <c r="I288" t="s">
        <v>57</v>
      </c>
      <c r="J288" t="s">
        <v>21</v>
      </c>
      <c r="K288" s="2">
        <v>133699</v>
      </c>
      <c r="L288" t="s">
        <v>29</v>
      </c>
      <c r="M288" s="2">
        <v>0.32</v>
      </c>
      <c r="N288" s="2">
        <v>0.63</v>
      </c>
      <c r="O288" s="2">
        <v>10757.13</v>
      </c>
      <c r="P288" s="2">
        <v>0</v>
      </c>
      <c r="Q288">
        <f t="shared" si="16"/>
        <v>48026.984126984127</v>
      </c>
      <c r="R288">
        <f t="shared" ca="1" si="17"/>
        <v>47</v>
      </c>
      <c r="S288" s="2">
        <f t="shared" si="18"/>
        <v>-19499.870000000003</v>
      </c>
      <c r="T288" s="18">
        <v>0.1</v>
      </c>
      <c r="U288">
        <f t="shared" si="19"/>
        <v>-21449.857000000004</v>
      </c>
    </row>
    <row r="289" spans="1:21" x14ac:dyDescent="0.3">
      <c r="A289" t="s">
        <v>620</v>
      </c>
      <c r="B289" s="1">
        <v>45030</v>
      </c>
      <c r="C289" t="s">
        <v>621</v>
      </c>
      <c r="D289" s="3" t="s">
        <v>46</v>
      </c>
      <c r="E289" s="2">
        <v>22736</v>
      </c>
      <c r="F289" s="2">
        <v>22.4</v>
      </c>
      <c r="G289" s="4">
        <v>60</v>
      </c>
      <c r="H289" t="s">
        <v>81</v>
      </c>
      <c r="I289" t="s">
        <v>84</v>
      </c>
      <c r="J289" t="s">
        <v>28</v>
      </c>
      <c r="K289" s="2">
        <v>143711</v>
      </c>
      <c r="L289" t="s">
        <v>29</v>
      </c>
      <c r="M289" s="2">
        <v>0.44</v>
      </c>
      <c r="N289" s="2">
        <v>0.73</v>
      </c>
      <c r="O289" s="2">
        <v>7219.33</v>
      </c>
      <c r="P289" s="2">
        <v>8265.9599999999991</v>
      </c>
      <c r="Q289">
        <f t="shared" si="16"/>
        <v>31145.205479452055</v>
      </c>
      <c r="R289">
        <f t="shared" ca="1" si="17"/>
        <v>35</v>
      </c>
      <c r="S289" s="2">
        <f t="shared" si="18"/>
        <v>-7250.7100000000009</v>
      </c>
      <c r="T289" s="18">
        <v>0.1</v>
      </c>
      <c r="U289">
        <f t="shared" si="19"/>
        <v>-7975.7810000000018</v>
      </c>
    </row>
    <row r="290" spans="1:21" x14ac:dyDescent="0.3">
      <c r="A290" t="s">
        <v>622</v>
      </c>
      <c r="B290" s="1">
        <v>44923</v>
      </c>
      <c r="C290" t="s">
        <v>623</v>
      </c>
      <c r="D290" s="3" t="s">
        <v>76</v>
      </c>
      <c r="E290" s="2">
        <v>14281</v>
      </c>
      <c r="F290" s="2">
        <v>15.9</v>
      </c>
      <c r="G290" s="4">
        <v>60</v>
      </c>
      <c r="H290" t="s">
        <v>26</v>
      </c>
      <c r="I290" t="s">
        <v>27</v>
      </c>
      <c r="J290" t="s">
        <v>37</v>
      </c>
      <c r="K290" s="2">
        <v>114178</v>
      </c>
      <c r="L290" t="s">
        <v>22</v>
      </c>
      <c r="M290" s="2">
        <v>0.15</v>
      </c>
      <c r="N290" s="2">
        <v>0.88</v>
      </c>
      <c r="O290" s="2">
        <v>6915.78</v>
      </c>
      <c r="P290" s="2">
        <v>0</v>
      </c>
      <c r="Q290">
        <f t="shared" si="16"/>
        <v>16228.40909090909</v>
      </c>
      <c r="R290">
        <f t="shared" ca="1" si="17"/>
        <v>38</v>
      </c>
      <c r="S290" s="2">
        <f t="shared" si="18"/>
        <v>-7365.22</v>
      </c>
      <c r="T290" s="18">
        <v>0.1</v>
      </c>
      <c r="U290">
        <f t="shared" si="19"/>
        <v>-8101.7420000000011</v>
      </c>
    </row>
    <row r="291" spans="1:21" x14ac:dyDescent="0.3">
      <c r="A291" t="s">
        <v>624</v>
      </c>
      <c r="B291" s="1">
        <v>45050</v>
      </c>
      <c r="C291" t="s">
        <v>625</v>
      </c>
      <c r="D291" s="3" t="s">
        <v>18</v>
      </c>
      <c r="E291" s="2">
        <v>2435</v>
      </c>
      <c r="F291" s="2">
        <v>20.2</v>
      </c>
      <c r="G291" s="4">
        <v>36</v>
      </c>
      <c r="H291" t="s">
        <v>26</v>
      </c>
      <c r="I291" t="s">
        <v>73</v>
      </c>
      <c r="J291" t="s">
        <v>32</v>
      </c>
      <c r="K291" s="2">
        <v>41094</v>
      </c>
      <c r="L291" t="s">
        <v>22</v>
      </c>
      <c r="M291" s="2">
        <v>0.42</v>
      </c>
      <c r="N291" s="2">
        <v>0.81</v>
      </c>
      <c r="O291" s="2">
        <v>407.08</v>
      </c>
      <c r="P291" s="2">
        <v>0</v>
      </c>
      <c r="Q291">
        <f t="shared" si="16"/>
        <v>3006.1728395061727</v>
      </c>
      <c r="R291">
        <f t="shared" ca="1" si="17"/>
        <v>34</v>
      </c>
      <c r="S291" s="2">
        <f t="shared" si="18"/>
        <v>-2027.92</v>
      </c>
      <c r="T291" s="18">
        <v>0.1</v>
      </c>
      <c r="U291">
        <f t="shared" si="19"/>
        <v>-2230.7120000000004</v>
      </c>
    </row>
    <row r="292" spans="1:21" x14ac:dyDescent="0.3">
      <c r="A292" t="s">
        <v>626</v>
      </c>
      <c r="B292" s="1">
        <v>44247</v>
      </c>
      <c r="C292" t="s">
        <v>627</v>
      </c>
      <c r="D292" s="3" t="s">
        <v>56</v>
      </c>
      <c r="E292" s="2">
        <v>34339</v>
      </c>
      <c r="F292" s="2">
        <v>20.100000000000001</v>
      </c>
      <c r="G292" s="4">
        <v>36</v>
      </c>
      <c r="H292" t="s">
        <v>26</v>
      </c>
      <c r="I292" t="s">
        <v>20</v>
      </c>
      <c r="J292" t="s">
        <v>28</v>
      </c>
      <c r="K292" s="2">
        <v>117959</v>
      </c>
      <c r="L292" t="s">
        <v>22</v>
      </c>
      <c r="M292" s="2">
        <v>0.45</v>
      </c>
      <c r="N292" s="2">
        <v>0.63</v>
      </c>
      <c r="O292" s="2">
        <v>2002.15</v>
      </c>
      <c r="P292" s="2">
        <v>0</v>
      </c>
      <c r="Q292">
        <f t="shared" si="16"/>
        <v>54506.349206349209</v>
      </c>
      <c r="R292">
        <f t="shared" ca="1" si="17"/>
        <v>60</v>
      </c>
      <c r="S292" s="2">
        <f t="shared" si="18"/>
        <v>-32336.85</v>
      </c>
      <c r="T292" s="18">
        <v>0.1</v>
      </c>
      <c r="U292">
        <f t="shared" si="19"/>
        <v>-35570.535000000003</v>
      </c>
    </row>
    <row r="293" spans="1:21" x14ac:dyDescent="0.3">
      <c r="A293" t="s">
        <v>628</v>
      </c>
      <c r="B293" s="1">
        <v>44771</v>
      </c>
      <c r="C293" t="s">
        <v>629</v>
      </c>
      <c r="D293" s="3" t="s">
        <v>65</v>
      </c>
      <c r="E293" s="2">
        <v>36150</v>
      </c>
      <c r="F293" s="2">
        <v>5.4</v>
      </c>
      <c r="G293" s="4">
        <v>60</v>
      </c>
      <c r="H293" t="s">
        <v>19</v>
      </c>
      <c r="I293" t="s">
        <v>57</v>
      </c>
      <c r="J293" t="s">
        <v>28</v>
      </c>
      <c r="K293" s="2">
        <v>63418</v>
      </c>
      <c r="L293" t="s">
        <v>29</v>
      </c>
      <c r="M293" s="2">
        <v>0.16</v>
      </c>
      <c r="N293" s="2">
        <v>0.59</v>
      </c>
      <c r="O293" s="2">
        <v>38102.1</v>
      </c>
      <c r="P293" s="2">
        <v>0</v>
      </c>
      <c r="Q293">
        <f t="shared" si="16"/>
        <v>61271.186440677971</v>
      </c>
      <c r="R293">
        <f t="shared" ca="1" si="17"/>
        <v>43</v>
      </c>
      <c r="S293" s="2">
        <f t="shared" si="18"/>
        <v>1952.0999999999985</v>
      </c>
      <c r="T293" s="18">
        <v>0.1</v>
      </c>
      <c r="U293">
        <f t="shared" si="19"/>
        <v>2147.3099999999986</v>
      </c>
    </row>
    <row r="294" spans="1:21" x14ac:dyDescent="0.3">
      <c r="A294" t="s">
        <v>630</v>
      </c>
      <c r="B294" s="1">
        <v>44346</v>
      </c>
      <c r="C294" t="s">
        <v>631</v>
      </c>
      <c r="D294" s="3" t="s">
        <v>65</v>
      </c>
      <c r="E294" s="2">
        <v>26821</v>
      </c>
      <c r="F294" s="2">
        <v>7.5</v>
      </c>
      <c r="G294" s="4">
        <v>60</v>
      </c>
      <c r="H294" t="s">
        <v>19</v>
      </c>
      <c r="I294" t="s">
        <v>57</v>
      </c>
      <c r="J294" t="s">
        <v>47</v>
      </c>
      <c r="K294" s="2">
        <v>35741</v>
      </c>
      <c r="L294" t="s">
        <v>29</v>
      </c>
      <c r="M294" s="2">
        <v>0.44</v>
      </c>
      <c r="N294" s="2">
        <v>0.62</v>
      </c>
      <c r="O294" s="2">
        <v>28832.57</v>
      </c>
      <c r="P294" s="2">
        <v>0</v>
      </c>
      <c r="Q294">
        <f t="shared" si="16"/>
        <v>43259.677419354841</v>
      </c>
      <c r="R294">
        <f t="shared" ca="1" si="17"/>
        <v>57</v>
      </c>
      <c r="S294" s="2">
        <f t="shared" si="18"/>
        <v>2011.5699999999997</v>
      </c>
      <c r="T294" s="18">
        <v>0.1</v>
      </c>
      <c r="U294">
        <f t="shared" si="19"/>
        <v>2212.7269999999999</v>
      </c>
    </row>
    <row r="295" spans="1:21" x14ac:dyDescent="0.3">
      <c r="A295" t="s">
        <v>632</v>
      </c>
      <c r="B295" s="1">
        <v>44510</v>
      </c>
      <c r="C295" t="s">
        <v>633</v>
      </c>
      <c r="D295" s="3" t="s">
        <v>50</v>
      </c>
      <c r="E295" s="2">
        <v>27660</v>
      </c>
      <c r="F295" s="2">
        <v>18.2</v>
      </c>
      <c r="G295" s="4">
        <v>36</v>
      </c>
      <c r="H295" t="s">
        <v>26</v>
      </c>
      <c r="I295" t="s">
        <v>84</v>
      </c>
      <c r="J295" t="s">
        <v>37</v>
      </c>
      <c r="K295" s="2">
        <v>141585</v>
      </c>
      <c r="L295" t="s">
        <v>29</v>
      </c>
      <c r="M295" s="2">
        <v>0.5</v>
      </c>
      <c r="N295" s="2">
        <v>0.57999999999999996</v>
      </c>
      <c r="O295" s="2">
        <v>8174.19</v>
      </c>
      <c r="P295" s="2">
        <v>0</v>
      </c>
      <c r="Q295">
        <f t="shared" si="16"/>
        <v>47689.655172413797</v>
      </c>
      <c r="R295">
        <f t="shared" ca="1" si="17"/>
        <v>52</v>
      </c>
      <c r="S295" s="2">
        <f t="shared" si="18"/>
        <v>-19485.810000000001</v>
      </c>
      <c r="T295" s="18">
        <v>0.1</v>
      </c>
      <c r="U295">
        <f t="shared" si="19"/>
        <v>-21434.391000000003</v>
      </c>
    </row>
    <row r="296" spans="1:21" x14ac:dyDescent="0.3">
      <c r="A296" t="s">
        <v>634</v>
      </c>
      <c r="B296" s="1">
        <v>44766</v>
      </c>
      <c r="C296" t="s">
        <v>635</v>
      </c>
      <c r="D296" s="3" t="s">
        <v>56</v>
      </c>
      <c r="E296" s="2">
        <v>6084</v>
      </c>
      <c r="F296" s="2">
        <v>8.1999999999999993</v>
      </c>
      <c r="G296" s="4">
        <v>60</v>
      </c>
      <c r="H296" t="s">
        <v>19</v>
      </c>
      <c r="I296" t="s">
        <v>20</v>
      </c>
      <c r="J296" t="s">
        <v>28</v>
      </c>
      <c r="K296" s="2">
        <v>102374</v>
      </c>
      <c r="L296" t="s">
        <v>33</v>
      </c>
      <c r="M296" s="2">
        <v>0.39</v>
      </c>
      <c r="N296" s="2">
        <v>0.54</v>
      </c>
      <c r="O296" s="2">
        <v>6582.89</v>
      </c>
      <c r="P296" s="2">
        <v>0</v>
      </c>
      <c r="Q296">
        <f t="shared" si="16"/>
        <v>11266.666666666666</v>
      </c>
      <c r="R296">
        <f t="shared" ca="1" si="17"/>
        <v>43</v>
      </c>
      <c r="S296" s="2">
        <f t="shared" si="18"/>
        <v>498.89000000000033</v>
      </c>
      <c r="T296" s="18">
        <v>0.1</v>
      </c>
      <c r="U296">
        <f t="shared" si="19"/>
        <v>548.77900000000045</v>
      </c>
    </row>
    <row r="297" spans="1:21" x14ac:dyDescent="0.3">
      <c r="A297" t="s">
        <v>636</v>
      </c>
      <c r="B297" s="1">
        <v>44501</v>
      </c>
      <c r="C297" t="s">
        <v>637</v>
      </c>
      <c r="D297" s="3" t="s">
        <v>65</v>
      </c>
      <c r="E297" s="2">
        <v>17661</v>
      </c>
      <c r="F297" s="2">
        <v>10.1</v>
      </c>
      <c r="G297" s="4">
        <v>60</v>
      </c>
      <c r="H297" t="s">
        <v>81</v>
      </c>
      <c r="I297" t="s">
        <v>84</v>
      </c>
      <c r="J297" t="s">
        <v>37</v>
      </c>
      <c r="K297" s="2">
        <v>147275</v>
      </c>
      <c r="L297" t="s">
        <v>33</v>
      </c>
      <c r="M297" s="2">
        <v>0.41</v>
      </c>
      <c r="N297" s="2">
        <v>0.69</v>
      </c>
      <c r="O297" s="2">
        <v>5510.89</v>
      </c>
      <c r="P297" s="2">
        <v>3016.27</v>
      </c>
      <c r="Q297">
        <f t="shared" si="16"/>
        <v>25595.652173913044</v>
      </c>
      <c r="R297">
        <f t="shared" ca="1" si="17"/>
        <v>52</v>
      </c>
      <c r="S297" s="2">
        <f t="shared" si="18"/>
        <v>-9133.84</v>
      </c>
      <c r="T297" s="18">
        <v>0.1</v>
      </c>
      <c r="U297">
        <f t="shared" si="19"/>
        <v>-10047.224</v>
      </c>
    </row>
    <row r="298" spans="1:21" x14ac:dyDescent="0.3">
      <c r="A298" t="s">
        <v>638</v>
      </c>
      <c r="B298" s="1">
        <v>44878</v>
      </c>
      <c r="C298" t="s">
        <v>639</v>
      </c>
      <c r="D298" s="3" t="s">
        <v>18</v>
      </c>
      <c r="E298" s="2">
        <v>14507</v>
      </c>
      <c r="F298" s="2">
        <v>23.9</v>
      </c>
      <c r="G298" s="4">
        <v>60</v>
      </c>
      <c r="H298" t="s">
        <v>19</v>
      </c>
      <c r="I298" t="s">
        <v>27</v>
      </c>
      <c r="J298" t="s">
        <v>47</v>
      </c>
      <c r="K298" s="2">
        <v>98798</v>
      </c>
      <c r="L298" t="s">
        <v>22</v>
      </c>
      <c r="M298" s="2">
        <v>0.5</v>
      </c>
      <c r="N298" s="2">
        <v>0.55000000000000004</v>
      </c>
      <c r="O298" s="2">
        <v>17974.169999999998</v>
      </c>
      <c r="P298" s="2">
        <v>0</v>
      </c>
      <c r="Q298">
        <f t="shared" si="16"/>
        <v>26376.363636363636</v>
      </c>
      <c r="R298">
        <f t="shared" ca="1" si="17"/>
        <v>40</v>
      </c>
      <c r="S298" s="2">
        <f t="shared" si="18"/>
        <v>3467.1699999999983</v>
      </c>
      <c r="T298" s="18">
        <v>0.1</v>
      </c>
      <c r="U298">
        <f t="shared" si="19"/>
        <v>3813.8869999999984</v>
      </c>
    </row>
    <row r="299" spans="1:21" x14ac:dyDescent="0.3">
      <c r="A299" t="s">
        <v>640</v>
      </c>
      <c r="B299" s="1">
        <v>45034</v>
      </c>
      <c r="C299" t="s">
        <v>641</v>
      </c>
      <c r="D299" s="3" t="s">
        <v>50</v>
      </c>
      <c r="E299" s="2">
        <v>8059</v>
      </c>
      <c r="F299" s="2">
        <v>16.2</v>
      </c>
      <c r="G299" s="4">
        <v>36</v>
      </c>
      <c r="H299" t="s">
        <v>19</v>
      </c>
      <c r="I299" t="s">
        <v>27</v>
      </c>
      <c r="J299" t="s">
        <v>37</v>
      </c>
      <c r="K299" s="2">
        <v>146026</v>
      </c>
      <c r="L299" t="s">
        <v>29</v>
      </c>
      <c r="M299" s="2">
        <v>0.34</v>
      </c>
      <c r="N299" s="2">
        <v>0.57999999999999996</v>
      </c>
      <c r="O299" s="2">
        <v>9364.56</v>
      </c>
      <c r="P299" s="2">
        <v>0</v>
      </c>
      <c r="Q299">
        <f t="shared" si="16"/>
        <v>13894.827586206897</v>
      </c>
      <c r="R299">
        <f t="shared" ca="1" si="17"/>
        <v>35</v>
      </c>
      <c r="S299" s="2">
        <f t="shared" si="18"/>
        <v>1305.5599999999995</v>
      </c>
      <c r="T299" s="18">
        <v>0.1</v>
      </c>
      <c r="U299">
        <f t="shared" si="19"/>
        <v>1436.1159999999995</v>
      </c>
    </row>
    <row r="300" spans="1:21" x14ac:dyDescent="0.3">
      <c r="A300" t="s">
        <v>642</v>
      </c>
      <c r="B300" s="1">
        <v>45274</v>
      </c>
      <c r="C300" t="s">
        <v>643</v>
      </c>
      <c r="D300" s="3" t="s">
        <v>65</v>
      </c>
      <c r="E300" s="2">
        <v>19271</v>
      </c>
      <c r="F300" s="2">
        <v>20</v>
      </c>
      <c r="G300" s="4">
        <v>60</v>
      </c>
      <c r="H300" t="s">
        <v>81</v>
      </c>
      <c r="I300" t="s">
        <v>57</v>
      </c>
      <c r="J300" t="s">
        <v>47</v>
      </c>
      <c r="K300" s="2">
        <v>100532</v>
      </c>
      <c r="L300" t="s">
        <v>22</v>
      </c>
      <c r="M300" s="2">
        <v>0.22</v>
      </c>
      <c r="N300" s="2">
        <v>0.75</v>
      </c>
      <c r="O300" s="2">
        <v>6496.68</v>
      </c>
      <c r="P300" s="2">
        <v>2294.8000000000002</v>
      </c>
      <c r="Q300">
        <f t="shared" si="16"/>
        <v>25694.666666666668</v>
      </c>
      <c r="R300">
        <f t="shared" ca="1" si="17"/>
        <v>27</v>
      </c>
      <c r="S300" s="2">
        <f t="shared" si="18"/>
        <v>-10479.52</v>
      </c>
      <c r="T300" s="18">
        <v>0.1</v>
      </c>
      <c r="U300">
        <f t="shared" si="19"/>
        <v>-11527.472000000002</v>
      </c>
    </row>
    <row r="301" spans="1:21" x14ac:dyDescent="0.3">
      <c r="A301" t="s">
        <v>644</v>
      </c>
      <c r="B301" s="1">
        <v>45199</v>
      </c>
      <c r="C301" t="s">
        <v>645</v>
      </c>
      <c r="D301" s="3" t="s">
        <v>46</v>
      </c>
      <c r="E301" s="2">
        <v>8491</v>
      </c>
      <c r="F301" s="2">
        <v>16.2</v>
      </c>
      <c r="G301" s="4">
        <v>36</v>
      </c>
      <c r="H301" t="s">
        <v>26</v>
      </c>
      <c r="I301" t="s">
        <v>27</v>
      </c>
      <c r="J301" t="s">
        <v>47</v>
      </c>
      <c r="K301" s="2">
        <v>140130</v>
      </c>
      <c r="L301" t="s">
        <v>29</v>
      </c>
      <c r="M301" s="2">
        <v>0.44</v>
      </c>
      <c r="N301" s="2">
        <v>0.56999999999999995</v>
      </c>
      <c r="O301" s="2">
        <v>1164.82</v>
      </c>
      <c r="P301" s="2">
        <v>0</v>
      </c>
      <c r="Q301">
        <f t="shared" si="16"/>
        <v>14896.491228070177</v>
      </c>
      <c r="R301">
        <f t="shared" ca="1" si="17"/>
        <v>29</v>
      </c>
      <c r="S301" s="2">
        <f t="shared" si="18"/>
        <v>-7326.18</v>
      </c>
      <c r="T301" s="18">
        <v>0.1</v>
      </c>
      <c r="U301">
        <f t="shared" si="19"/>
        <v>-8058.7980000000007</v>
      </c>
    </row>
    <row r="302" spans="1:21" x14ac:dyDescent="0.3">
      <c r="A302" t="s">
        <v>646</v>
      </c>
      <c r="B302" s="1">
        <v>44640</v>
      </c>
      <c r="C302" t="s">
        <v>647</v>
      </c>
      <c r="D302" s="3" t="s">
        <v>72</v>
      </c>
      <c r="E302" s="2">
        <v>15859</v>
      </c>
      <c r="F302" s="2">
        <v>16.100000000000001</v>
      </c>
      <c r="G302" s="4">
        <v>60</v>
      </c>
      <c r="H302" t="s">
        <v>19</v>
      </c>
      <c r="I302" t="s">
        <v>73</v>
      </c>
      <c r="J302" t="s">
        <v>21</v>
      </c>
      <c r="K302" s="2">
        <v>52164</v>
      </c>
      <c r="L302" t="s">
        <v>22</v>
      </c>
      <c r="M302" s="2">
        <v>0.35</v>
      </c>
      <c r="N302" s="2">
        <v>0.53</v>
      </c>
      <c r="O302" s="2">
        <v>18412.3</v>
      </c>
      <c r="P302" s="2">
        <v>0</v>
      </c>
      <c r="Q302">
        <f t="shared" si="16"/>
        <v>29922.641509433961</v>
      </c>
      <c r="R302">
        <f t="shared" ca="1" si="17"/>
        <v>47</v>
      </c>
      <c r="S302" s="2">
        <f t="shared" si="18"/>
        <v>2553.2999999999993</v>
      </c>
      <c r="T302" s="18">
        <v>0.1</v>
      </c>
      <c r="U302">
        <f t="shared" si="19"/>
        <v>2808.6299999999992</v>
      </c>
    </row>
    <row r="303" spans="1:21" x14ac:dyDescent="0.3">
      <c r="A303" t="s">
        <v>648</v>
      </c>
      <c r="B303" s="1">
        <v>44809</v>
      </c>
      <c r="C303" t="s">
        <v>649</v>
      </c>
      <c r="D303" s="3" t="s">
        <v>40</v>
      </c>
      <c r="E303" s="2">
        <v>9073</v>
      </c>
      <c r="F303" s="2">
        <v>6.9</v>
      </c>
      <c r="G303" s="4">
        <v>36</v>
      </c>
      <c r="H303" t="s">
        <v>26</v>
      </c>
      <c r="I303" t="s">
        <v>27</v>
      </c>
      <c r="J303" t="s">
        <v>37</v>
      </c>
      <c r="K303" s="2">
        <v>65595</v>
      </c>
      <c r="L303" t="s">
        <v>33</v>
      </c>
      <c r="M303" s="2">
        <v>0.33</v>
      </c>
      <c r="N303" s="2">
        <v>0.64</v>
      </c>
      <c r="O303" s="2">
        <v>1522.35</v>
      </c>
      <c r="P303" s="2">
        <v>0</v>
      </c>
      <c r="Q303">
        <f t="shared" si="16"/>
        <v>14176.5625</v>
      </c>
      <c r="R303">
        <f t="shared" ca="1" si="17"/>
        <v>42</v>
      </c>
      <c r="S303" s="2">
        <f t="shared" si="18"/>
        <v>-7550.65</v>
      </c>
      <c r="T303" s="18">
        <v>0.1</v>
      </c>
      <c r="U303">
        <f t="shared" si="19"/>
        <v>-8305.7150000000001</v>
      </c>
    </row>
    <row r="304" spans="1:21" x14ac:dyDescent="0.3">
      <c r="A304" t="s">
        <v>650</v>
      </c>
      <c r="B304" s="1">
        <v>45189</v>
      </c>
      <c r="C304" t="s">
        <v>651</v>
      </c>
      <c r="D304" s="3" t="s">
        <v>56</v>
      </c>
      <c r="E304" s="2">
        <v>10077</v>
      </c>
      <c r="F304" s="2">
        <v>11.9</v>
      </c>
      <c r="G304" s="4">
        <v>60</v>
      </c>
      <c r="H304" t="s">
        <v>26</v>
      </c>
      <c r="I304" t="s">
        <v>57</v>
      </c>
      <c r="J304" t="s">
        <v>32</v>
      </c>
      <c r="K304" s="2">
        <v>60257</v>
      </c>
      <c r="L304" t="s">
        <v>29</v>
      </c>
      <c r="M304" s="2">
        <v>0.2</v>
      </c>
      <c r="N304" s="2">
        <v>0.6</v>
      </c>
      <c r="O304" s="2">
        <v>2828.27</v>
      </c>
      <c r="P304" s="2">
        <v>0</v>
      </c>
      <c r="Q304">
        <f t="shared" si="16"/>
        <v>16795</v>
      </c>
      <c r="R304">
        <f t="shared" ca="1" si="17"/>
        <v>29</v>
      </c>
      <c r="S304" s="2">
        <f t="shared" si="18"/>
        <v>-7248.73</v>
      </c>
      <c r="T304" s="18">
        <v>0.1</v>
      </c>
      <c r="U304">
        <f t="shared" si="19"/>
        <v>-7973.6030000000001</v>
      </c>
    </row>
    <row r="305" spans="1:21" x14ac:dyDescent="0.3">
      <c r="A305" t="s">
        <v>652</v>
      </c>
      <c r="B305" s="1">
        <v>44460</v>
      </c>
      <c r="C305" t="s">
        <v>653</v>
      </c>
      <c r="D305" s="3" t="s">
        <v>18</v>
      </c>
      <c r="E305" s="2">
        <v>21953</v>
      </c>
      <c r="F305" s="2">
        <v>10.6</v>
      </c>
      <c r="G305" s="4">
        <v>36</v>
      </c>
      <c r="H305" t="s">
        <v>19</v>
      </c>
      <c r="I305" t="s">
        <v>73</v>
      </c>
      <c r="J305" t="s">
        <v>21</v>
      </c>
      <c r="K305" s="2">
        <v>44211</v>
      </c>
      <c r="L305" t="s">
        <v>33</v>
      </c>
      <c r="M305" s="2">
        <v>0.4</v>
      </c>
      <c r="N305" s="2">
        <v>0.73</v>
      </c>
      <c r="O305" s="2">
        <v>24280.02</v>
      </c>
      <c r="P305" s="2">
        <v>0</v>
      </c>
      <c r="Q305">
        <f t="shared" si="16"/>
        <v>30072.60273972603</v>
      </c>
      <c r="R305">
        <f t="shared" ca="1" si="17"/>
        <v>53</v>
      </c>
      <c r="S305" s="2">
        <f t="shared" si="18"/>
        <v>2327.0200000000004</v>
      </c>
      <c r="T305" s="18">
        <v>0.1</v>
      </c>
      <c r="U305">
        <f t="shared" si="19"/>
        <v>2559.7220000000007</v>
      </c>
    </row>
    <row r="306" spans="1:21" x14ac:dyDescent="0.3">
      <c r="A306" t="s">
        <v>654</v>
      </c>
      <c r="B306" s="1">
        <v>45273</v>
      </c>
      <c r="C306" t="s">
        <v>655</v>
      </c>
      <c r="D306" s="3" t="s">
        <v>53</v>
      </c>
      <c r="E306" s="2">
        <v>12383</v>
      </c>
      <c r="F306" s="2">
        <v>12.8</v>
      </c>
      <c r="G306" s="4">
        <v>36</v>
      </c>
      <c r="H306" t="s">
        <v>19</v>
      </c>
      <c r="I306" t="s">
        <v>27</v>
      </c>
      <c r="J306" t="s">
        <v>47</v>
      </c>
      <c r="K306" s="2">
        <v>125989</v>
      </c>
      <c r="L306" t="s">
        <v>29</v>
      </c>
      <c r="M306" s="2">
        <v>0.13</v>
      </c>
      <c r="N306" s="2">
        <v>0.55000000000000004</v>
      </c>
      <c r="O306" s="2">
        <v>13968.02</v>
      </c>
      <c r="P306" s="2">
        <v>0</v>
      </c>
      <c r="Q306">
        <f t="shared" si="16"/>
        <v>22514.545454545452</v>
      </c>
      <c r="R306">
        <f t="shared" ca="1" si="17"/>
        <v>27</v>
      </c>
      <c r="S306" s="2">
        <f t="shared" si="18"/>
        <v>1585.0200000000004</v>
      </c>
      <c r="T306" s="18">
        <v>0.1</v>
      </c>
      <c r="U306">
        <f t="shared" si="19"/>
        <v>1743.5220000000006</v>
      </c>
    </row>
    <row r="307" spans="1:21" x14ac:dyDescent="0.3">
      <c r="A307" t="s">
        <v>656</v>
      </c>
      <c r="B307" s="1">
        <v>45200</v>
      </c>
      <c r="C307" t="s">
        <v>657</v>
      </c>
      <c r="D307" s="3" t="s">
        <v>76</v>
      </c>
      <c r="E307" s="2">
        <v>3353</v>
      </c>
      <c r="F307" s="2">
        <v>21</v>
      </c>
      <c r="G307" s="4">
        <v>36</v>
      </c>
      <c r="H307" t="s">
        <v>26</v>
      </c>
      <c r="I307" t="s">
        <v>20</v>
      </c>
      <c r="J307" t="s">
        <v>32</v>
      </c>
      <c r="K307" s="2">
        <v>35232</v>
      </c>
      <c r="L307" t="s">
        <v>22</v>
      </c>
      <c r="M307" s="2">
        <v>0.47</v>
      </c>
      <c r="N307" s="2">
        <v>0.84</v>
      </c>
      <c r="O307" s="2">
        <v>666.48</v>
      </c>
      <c r="P307" s="2">
        <v>0</v>
      </c>
      <c r="Q307">
        <f t="shared" si="16"/>
        <v>3991.666666666667</v>
      </c>
      <c r="R307">
        <f t="shared" ca="1" si="17"/>
        <v>29</v>
      </c>
      <c r="S307" s="2">
        <f t="shared" si="18"/>
        <v>-2686.52</v>
      </c>
      <c r="T307" s="18">
        <v>0.1</v>
      </c>
      <c r="U307">
        <f t="shared" si="19"/>
        <v>-2955.172</v>
      </c>
    </row>
    <row r="308" spans="1:21" x14ac:dyDescent="0.3">
      <c r="A308" t="s">
        <v>658</v>
      </c>
      <c r="B308" s="1">
        <v>44201</v>
      </c>
      <c r="C308" t="s">
        <v>659</v>
      </c>
      <c r="D308" s="3" t="s">
        <v>18</v>
      </c>
      <c r="E308" s="2">
        <v>24821</v>
      </c>
      <c r="F308" s="2">
        <v>12.4</v>
      </c>
      <c r="G308" s="4">
        <v>60</v>
      </c>
      <c r="H308" t="s">
        <v>81</v>
      </c>
      <c r="I308" t="s">
        <v>57</v>
      </c>
      <c r="J308" t="s">
        <v>28</v>
      </c>
      <c r="K308" s="2">
        <v>97753</v>
      </c>
      <c r="L308" t="s">
        <v>29</v>
      </c>
      <c r="M308" s="2">
        <v>0.23</v>
      </c>
      <c r="N308" s="2">
        <v>0.91</v>
      </c>
      <c r="O308" s="2">
        <v>8889.73</v>
      </c>
      <c r="P308" s="2">
        <v>5061.28</v>
      </c>
      <c r="Q308">
        <f t="shared" si="16"/>
        <v>27275.824175824175</v>
      </c>
      <c r="R308">
        <f t="shared" ca="1" si="17"/>
        <v>62</v>
      </c>
      <c r="S308" s="2">
        <f t="shared" si="18"/>
        <v>-10869.990000000002</v>
      </c>
      <c r="T308" s="18">
        <v>0.1</v>
      </c>
      <c r="U308">
        <f t="shared" si="19"/>
        <v>-11956.989000000003</v>
      </c>
    </row>
    <row r="309" spans="1:21" x14ac:dyDescent="0.3">
      <c r="A309" t="s">
        <v>660</v>
      </c>
      <c r="B309" s="1">
        <v>44970</v>
      </c>
      <c r="C309" t="s">
        <v>661</v>
      </c>
      <c r="D309" s="3" t="s">
        <v>65</v>
      </c>
      <c r="E309" s="2">
        <v>38567</v>
      </c>
      <c r="F309" s="2">
        <v>14</v>
      </c>
      <c r="G309" s="4">
        <v>60</v>
      </c>
      <c r="H309" t="s">
        <v>19</v>
      </c>
      <c r="I309" t="s">
        <v>41</v>
      </c>
      <c r="J309" t="s">
        <v>28</v>
      </c>
      <c r="K309" s="2">
        <v>82691</v>
      </c>
      <c r="L309" t="s">
        <v>33</v>
      </c>
      <c r="M309" s="2">
        <v>0.15</v>
      </c>
      <c r="N309" s="2">
        <v>0.83</v>
      </c>
      <c r="O309" s="2">
        <v>43966.38</v>
      </c>
      <c r="P309" s="2">
        <v>0</v>
      </c>
      <c r="Q309">
        <f t="shared" si="16"/>
        <v>46466.265060240963</v>
      </c>
      <c r="R309">
        <f t="shared" ca="1" si="17"/>
        <v>37</v>
      </c>
      <c r="S309" s="2">
        <f t="shared" si="18"/>
        <v>5399.3799999999974</v>
      </c>
      <c r="T309" s="18">
        <v>0.1</v>
      </c>
      <c r="U309">
        <f t="shared" si="19"/>
        <v>5939.3179999999975</v>
      </c>
    </row>
    <row r="310" spans="1:21" x14ac:dyDescent="0.3">
      <c r="A310" t="s">
        <v>662</v>
      </c>
      <c r="B310" s="1">
        <v>45073</v>
      </c>
      <c r="C310" t="s">
        <v>663</v>
      </c>
      <c r="D310" s="3" t="s">
        <v>18</v>
      </c>
      <c r="E310" s="2">
        <v>25860</v>
      </c>
      <c r="F310" s="2">
        <v>12.9</v>
      </c>
      <c r="G310" s="4">
        <v>60</v>
      </c>
      <c r="H310" t="s">
        <v>81</v>
      </c>
      <c r="I310" t="s">
        <v>20</v>
      </c>
      <c r="J310" t="s">
        <v>21</v>
      </c>
      <c r="K310" s="2">
        <v>119765</v>
      </c>
      <c r="L310" t="s">
        <v>29</v>
      </c>
      <c r="M310" s="2">
        <v>0.28000000000000003</v>
      </c>
      <c r="N310" s="2">
        <v>0.74</v>
      </c>
      <c r="O310" s="2">
        <v>6261.43</v>
      </c>
      <c r="P310" s="2">
        <v>5898.18</v>
      </c>
      <c r="Q310">
        <f t="shared" si="16"/>
        <v>34945.945945945947</v>
      </c>
      <c r="R310">
        <f t="shared" ca="1" si="17"/>
        <v>33</v>
      </c>
      <c r="S310" s="2">
        <f t="shared" si="18"/>
        <v>-13700.39</v>
      </c>
      <c r="T310" s="18">
        <v>0.1</v>
      </c>
      <c r="U310">
        <f t="shared" si="19"/>
        <v>-15070.429</v>
      </c>
    </row>
    <row r="311" spans="1:21" x14ac:dyDescent="0.3">
      <c r="A311" t="s">
        <v>664</v>
      </c>
      <c r="B311" s="1">
        <v>45188</v>
      </c>
      <c r="C311" t="s">
        <v>665</v>
      </c>
      <c r="D311" s="3" t="s">
        <v>53</v>
      </c>
      <c r="E311" s="2">
        <v>22195</v>
      </c>
      <c r="F311" s="2">
        <v>6.9</v>
      </c>
      <c r="G311" s="4">
        <v>36</v>
      </c>
      <c r="H311" t="s">
        <v>81</v>
      </c>
      <c r="I311" t="s">
        <v>57</v>
      </c>
      <c r="J311" t="s">
        <v>32</v>
      </c>
      <c r="K311" s="2">
        <v>109768</v>
      </c>
      <c r="L311" t="s">
        <v>22</v>
      </c>
      <c r="M311" s="2">
        <v>0.12</v>
      </c>
      <c r="N311" s="2">
        <v>0.89</v>
      </c>
      <c r="O311" s="2">
        <v>7543.49</v>
      </c>
      <c r="P311" s="2">
        <v>5682.73</v>
      </c>
      <c r="Q311">
        <f t="shared" si="16"/>
        <v>24938.20224719101</v>
      </c>
      <c r="R311">
        <f t="shared" ca="1" si="17"/>
        <v>30</v>
      </c>
      <c r="S311" s="2">
        <f t="shared" si="18"/>
        <v>-8968.7800000000007</v>
      </c>
      <c r="T311" s="18">
        <v>0.1</v>
      </c>
      <c r="U311">
        <f t="shared" si="19"/>
        <v>-9865.6580000000013</v>
      </c>
    </row>
    <row r="312" spans="1:21" x14ac:dyDescent="0.3">
      <c r="A312" t="s">
        <v>666</v>
      </c>
      <c r="B312" s="1">
        <v>45080</v>
      </c>
      <c r="C312" t="s">
        <v>667</v>
      </c>
      <c r="D312" s="3" t="s">
        <v>76</v>
      </c>
      <c r="E312" s="2">
        <v>12939</v>
      </c>
      <c r="F312" s="2">
        <v>13.8</v>
      </c>
      <c r="G312" s="4">
        <v>60</v>
      </c>
      <c r="H312" t="s">
        <v>19</v>
      </c>
      <c r="I312" t="s">
        <v>57</v>
      </c>
      <c r="J312" t="s">
        <v>37</v>
      </c>
      <c r="K312" s="2">
        <v>55613</v>
      </c>
      <c r="L312" t="s">
        <v>29</v>
      </c>
      <c r="M312" s="2">
        <v>0.37</v>
      </c>
      <c r="N312" s="2">
        <v>0.81</v>
      </c>
      <c r="O312" s="2">
        <v>14724.58</v>
      </c>
      <c r="P312" s="2">
        <v>0</v>
      </c>
      <c r="Q312">
        <f t="shared" si="16"/>
        <v>15974.074074074073</v>
      </c>
      <c r="R312">
        <f t="shared" ca="1" si="17"/>
        <v>33</v>
      </c>
      <c r="S312" s="2">
        <f t="shared" si="18"/>
        <v>1785.58</v>
      </c>
      <c r="T312" s="18">
        <v>0.1</v>
      </c>
      <c r="U312">
        <f t="shared" si="19"/>
        <v>1964.1380000000001</v>
      </c>
    </row>
    <row r="313" spans="1:21" x14ac:dyDescent="0.3">
      <c r="A313" t="s">
        <v>668</v>
      </c>
      <c r="B313" s="1">
        <v>44243</v>
      </c>
      <c r="C313" t="s">
        <v>669</v>
      </c>
      <c r="D313" s="3" t="s">
        <v>50</v>
      </c>
      <c r="E313" s="2">
        <v>26338</v>
      </c>
      <c r="F313" s="2">
        <v>8.9</v>
      </c>
      <c r="G313" s="4">
        <v>36</v>
      </c>
      <c r="H313" t="s">
        <v>26</v>
      </c>
      <c r="I313" t="s">
        <v>27</v>
      </c>
      <c r="J313" t="s">
        <v>32</v>
      </c>
      <c r="K313" s="2">
        <v>44026</v>
      </c>
      <c r="L313" t="s">
        <v>33</v>
      </c>
      <c r="M313" s="2">
        <v>0.46</v>
      </c>
      <c r="N313" s="2">
        <v>0.5</v>
      </c>
      <c r="O313" s="2">
        <v>8198.4599999999991</v>
      </c>
      <c r="P313" s="2">
        <v>0</v>
      </c>
      <c r="Q313">
        <f t="shared" si="16"/>
        <v>52676</v>
      </c>
      <c r="R313">
        <f t="shared" ca="1" si="17"/>
        <v>61</v>
      </c>
      <c r="S313" s="2">
        <f t="shared" si="18"/>
        <v>-18139.54</v>
      </c>
      <c r="T313" s="18">
        <v>0.1</v>
      </c>
      <c r="U313">
        <f t="shared" si="19"/>
        <v>-19953.494000000002</v>
      </c>
    </row>
    <row r="314" spans="1:21" x14ac:dyDescent="0.3">
      <c r="A314" t="s">
        <v>670</v>
      </c>
      <c r="B314" s="1">
        <v>45063</v>
      </c>
      <c r="C314" t="s">
        <v>671</v>
      </c>
      <c r="D314" s="3" t="s">
        <v>65</v>
      </c>
      <c r="E314" s="2">
        <v>22730</v>
      </c>
      <c r="F314" s="2">
        <v>8.6999999999999993</v>
      </c>
      <c r="G314" s="4">
        <v>60</v>
      </c>
      <c r="H314" t="s">
        <v>19</v>
      </c>
      <c r="I314" t="s">
        <v>20</v>
      </c>
      <c r="J314" t="s">
        <v>21</v>
      </c>
      <c r="K314" s="2">
        <v>83535</v>
      </c>
      <c r="L314" t="s">
        <v>22</v>
      </c>
      <c r="M314" s="2">
        <v>0.43</v>
      </c>
      <c r="N314" s="2">
        <v>0.68</v>
      </c>
      <c r="O314" s="2">
        <v>24707.51</v>
      </c>
      <c r="P314" s="2">
        <v>0</v>
      </c>
      <c r="Q314">
        <f t="shared" si="16"/>
        <v>33426.470588235294</v>
      </c>
      <c r="R314">
        <f t="shared" ca="1" si="17"/>
        <v>34</v>
      </c>
      <c r="S314" s="2">
        <f t="shared" si="18"/>
        <v>1977.5099999999984</v>
      </c>
      <c r="T314" s="18">
        <v>0.1</v>
      </c>
      <c r="U314">
        <f t="shared" si="19"/>
        <v>2175.2609999999986</v>
      </c>
    </row>
    <row r="315" spans="1:21" x14ac:dyDescent="0.3">
      <c r="A315" t="s">
        <v>672</v>
      </c>
      <c r="B315" s="1">
        <v>45019</v>
      </c>
      <c r="C315" t="s">
        <v>673</v>
      </c>
      <c r="D315" s="3" t="s">
        <v>25</v>
      </c>
      <c r="E315" s="2">
        <v>22427</v>
      </c>
      <c r="F315" s="2">
        <v>6.9</v>
      </c>
      <c r="G315" s="4">
        <v>36</v>
      </c>
      <c r="H315" t="s">
        <v>19</v>
      </c>
      <c r="I315" t="s">
        <v>73</v>
      </c>
      <c r="J315" t="s">
        <v>37</v>
      </c>
      <c r="K315" s="2">
        <v>124090</v>
      </c>
      <c r="L315" t="s">
        <v>33</v>
      </c>
      <c r="M315" s="2">
        <v>0.15</v>
      </c>
      <c r="N315" s="2">
        <v>0.88</v>
      </c>
      <c r="O315" s="2">
        <v>23974.46</v>
      </c>
      <c r="P315" s="2">
        <v>0</v>
      </c>
      <c r="Q315">
        <f t="shared" si="16"/>
        <v>25485.227272727272</v>
      </c>
      <c r="R315">
        <f t="shared" ca="1" si="17"/>
        <v>35</v>
      </c>
      <c r="S315" s="2">
        <f t="shared" si="18"/>
        <v>1547.4599999999991</v>
      </c>
      <c r="T315" s="18">
        <v>0.1</v>
      </c>
      <c r="U315">
        <f t="shared" si="19"/>
        <v>1702.2059999999992</v>
      </c>
    </row>
    <row r="316" spans="1:21" x14ac:dyDescent="0.3">
      <c r="A316" t="s">
        <v>674</v>
      </c>
      <c r="B316" s="1">
        <v>45132</v>
      </c>
      <c r="C316" t="s">
        <v>675</v>
      </c>
      <c r="D316" s="3" t="s">
        <v>65</v>
      </c>
      <c r="E316" s="2">
        <v>36196</v>
      </c>
      <c r="F316" s="2">
        <v>12.1</v>
      </c>
      <c r="G316" s="4">
        <v>36</v>
      </c>
      <c r="H316" t="s">
        <v>26</v>
      </c>
      <c r="I316" t="s">
        <v>20</v>
      </c>
      <c r="J316" t="s">
        <v>37</v>
      </c>
      <c r="K316" s="2">
        <v>60908</v>
      </c>
      <c r="L316" t="s">
        <v>29</v>
      </c>
      <c r="M316" s="2">
        <v>0.15</v>
      </c>
      <c r="N316" s="2">
        <v>0.66</v>
      </c>
      <c r="O316" s="2">
        <v>14402.05</v>
      </c>
      <c r="P316" s="2">
        <v>0</v>
      </c>
      <c r="Q316">
        <f t="shared" si="16"/>
        <v>54842.42424242424</v>
      </c>
      <c r="R316">
        <f t="shared" ca="1" si="17"/>
        <v>31</v>
      </c>
      <c r="S316" s="2">
        <f t="shared" si="18"/>
        <v>-21793.95</v>
      </c>
      <c r="T316" s="18">
        <v>0.1</v>
      </c>
      <c r="U316">
        <f t="shared" si="19"/>
        <v>-23973.345000000001</v>
      </c>
    </row>
    <row r="317" spans="1:21" x14ac:dyDescent="0.3">
      <c r="A317" t="s">
        <v>676</v>
      </c>
      <c r="B317" s="1">
        <v>44852</v>
      </c>
      <c r="C317" t="s">
        <v>677</v>
      </c>
      <c r="D317" s="3" t="s">
        <v>40</v>
      </c>
      <c r="E317" s="2">
        <v>28083</v>
      </c>
      <c r="F317" s="2">
        <v>20.100000000000001</v>
      </c>
      <c r="G317" s="4">
        <v>36</v>
      </c>
      <c r="H317" t="s">
        <v>81</v>
      </c>
      <c r="I317" t="s">
        <v>20</v>
      </c>
      <c r="J317" t="s">
        <v>28</v>
      </c>
      <c r="K317" s="2">
        <v>82113</v>
      </c>
      <c r="L317" t="s">
        <v>33</v>
      </c>
      <c r="M317" s="2">
        <v>0.43</v>
      </c>
      <c r="N317" s="2">
        <v>0.52</v>
      </c>
      <c r="O317" s="2">
        <v>5611.04</v>
      </c>
      <c r="P317" s="2">
        <v>8802.11</v>
      </c>
      <c r="Q317">
        <f t="shared" si="16"/>
        <v>54005.769230769227</v>
      </c>
      <c r="R317">
        <f t="shared" ca="1" si="17"/>
        <v>41</v>
      </c>
      <c r="S317" s="2">
        <f t="shared" si="18"/>
        <v>-13669.849999999999</v>
      </c>
      <c r="T317" s="18">
        <v>0.1</v>
      </c>
      <c r="U317">
        <f t="shared" si="19"/>
        <v>-15036.834999999999</v>
      </c>
    </row>
    <row r="318" spans="1:21" x14ac:dyDescent="0.3">
      <c r="A318" t="s">
        <v>678</v>
      </c>
      <c r="B318" s="1">
        <v>44465</v>
      </c>
      <c r="C318" t="s">
        <v>679</v>
      </c>
      <c r="D318" s="3" t="s">
        <v>25</v>
      </c>
      <c r="E318" s="2">
        <v>22510</v>
      </c>
      <c r="F318" s="2">
        <v>10.5</v>
      </c>
      <c r="G318" s="4">
        <v>60</v>
      </c>
      <c r="H318" t="s">
        <v>26</v>
      </c>
      <c r="I318" t="s">
        <v>27</v>
      </c>
      <c r="J318" t="s">
        <v>32</v>
      </c>
      <c r="K318" s="2">
        <v>49610</v>
      </c>
      <c r="L318" t="s">
        <v>29</v>
      </c>
      <c r="M318" s="2">
        <v>0.47</v>
      </c>
      <c r="N318" s="2">
        <v>0.84</v>
      </c>
      <c r="O318" s="2">
        <v>9547.33</v>
      </c>
      <c r="P318" s="2">
        <v>0</v>
      </c>
      <c r="Q318">
        <f t="shared" si="16"/>
        <v>26797.61904761905</v>
      </c>
      <c r="R318">
        <f t="shared" ca="1" si="17"/>
        <v>53</v>
      </c>
      <c r="S318" s="2">
        <f t="shared" si="18"/>
        <v>-12962.67</v>
      </c>
      <c r="T318" s="18">
        <v>0.1</v>
      </c>
      <c r="U318">
        <f t="shared" si="19"/>
        <v>-14258.937000000002</v>
      </c>
    </row>
    <row r="319" spans="1:21" x14ac:dyDescent="0.3">
      <c r="A319" t="s">
        <v>680</v>
      </c>
      <c r="B319" s="1">
        <v>44566</v>
      </c>
      <c r="C319" t="s">
        <v>681</v>
      </c>
      <c r="D319" s="3" t="s">
        <v>40</v>
      </c>
      <c r="E319" s="2">
        <v>8813</v>
      </c>
      <c r="F319" s="2">
        <v>11.2</v>
      </c>
      <c r="G319" s="4">
        <v>60</v>
      </c>
      <c r="H319" t="s">
        <v>19</v>
      </c>
      <c r="I319" t="s">
        <v>57</v>
      </c>
      <c r="J319" t="s">
        <v>37</v>
      </c>
      <c r="K319" s="2">
        <v>76646</v>
      </c>
      <c r="L319" t="s">
        <v>22</v>
      </c>
      <c r="M319" s="2">
        <v>0.28000000000000003</v>
      </c>
      <c r="N319" s="2">
        <v>0.86</v>
      </c>
      <c r="O319" s="2">
        <v>9800.06</v>
      </c>
      <c r="P319" s="2">
        <v>0</v>
      </c>
      <c r="Q319">
        <f t="shared" si="16"/>
        <v>10247.674418604651</v>
      </c>
      <c r="R319">
        <f t="shared" ca="1" si="17"/>
        <v>50</v>
      </c>
      <c r="S319" s="2">
        <f t="shared" si="18"/>
        <v>987.05999999999949</v>
      </c>
      <c r="T319" s="18">
        <v>0.1</v>
      </c>
      <c r="U319">
        <f t="shared" si="19"/>
        <v>1085.7659999999996</v>
      </c>
    </row>
    <row r="320" spans="1:21" x14ac:dyDescent="0.3">
      <c r="A320" t="s">
        <v>682</v>
      </c>
      <c r="B320" s="1">
        <v>44832</v>
      </c>
      <c r="C320" t="s">
        <v>683</v>
      </c>
      <c r="D320" s="3" t="s">
        <v>53</v>
      </c>
      <c r="E320" s="2">
        <v>32598</v>
      </c>
      <c r="F320" s="2">
        <v>17.899999999999999</v>
      </c>
      <c r="G320" s="4">
        <v>60</v>
      </c>
      <c r="H320" t="s">
        <v>19</v>
      </c>
      <c r="I320" t="s">
        <v>41</v>
      </c>
      <c r="J320" t="s">
        <v>21</v>
      </c>
      <c r="K320" s="2">
        <v>135141</v>
      </c>
      <c r="L320" t="s">
        <v>33</v>
      </c>
      <c r="M320" s="2">
        <v>0.3</v>
      </c>
      <c r="N320" s="2">
        <v>0.56999999999999995</v>
      </c>
      <c r="O320" s="2">
        <v>38433.040000000001</v>
      </c>
      <c r="P320" s="2">
        <v>0</v>
      </c>
      <c r="Q320">
        <f t="shared" si="16"/>
        <v>57189.473684210534</v>
      </c>
      <c r="R320">
        <f t="shared" ca="1" si="17"/>
        <v>41</v>
      </c>
      <c r="S320" s="2">
        <f t="shared" si="18"/>
        <v>5835.0400000000009</v>
      </c>
      <c r="T320" s="18">
        <v>0.1</v>
      </c>
      <c r="U320">
        <f t="shared" si="19"/>
        <v>6418.5440000000017</v>
      </c>
    </row>
    <row r="321" spans="1:21" x14ac:dyDescent="0.3">
      <c r="A321" t="s">
        <v>684</v>
      </c>
      <c r="B321" s="1">
        <v>44853</v>
      </c>
      <c r="C321" t="s">
        <v>685</v>
      </c>
      <c r="D321" s="3" t="s">
        <v>56</v>
      </c>
      <c r="E321" s="2">
        <v>28570</v>
      </c>
      <c r="F321" s="2">
        <v>8.9</v>
      </c>
      <c r="G321" s="4">
        <v>36</v>
      </c>
      <c r="H321" t="s">
        <v>19</v>
      </c>
      <c r="I321" t="s">
        <v>20</v>
      </c>
      <c r="J321" t="s">
        <v>28</v>
      </c>
      <c r="K321" s="2">
        <v>93185</v>
      </c>
      <c r="L321" t="s">
        <v>33</v>
      </c>
      <c r="M321" s="2">
        <v>0.23</v>
      </c>
      <c r="N321" s="2">
        <v>0.74</v>
      </c>
      <c r="O321" s="2">
        <v>31112.73</v>
      </c>
      <c r="P321" s="2">
        <v>0</v>
      </c>
      <c r="Q321">
        <f t="shared" si="16"/>
        <v>38608.108108108107</v>
      </c>
      <c r="R321">
        <f t="shared" ca="1" si="17"/>
        <v>41</v>
      </c>
      <c r="S321" s="2">
        <f t="shared" si="18"/>
        <v>2542.7299999999996</v>
      </c>
      <c r="T321" s="18">
        <v>0.1</v>
      </c>
      <c r="U321">
        <f t="shared" si="19"/>
        <v>2797.0029999999997</v>
      </c>
    </row>
    <row r="322" spans="1:21" x14ac:dyDescent="0.3">
      <c r="A322" t="s">
        <v>686</v>
      </c>
      <c r="B322" s="1">
        <v>44316</v>
      </c>
      <c r="C322" t="s">
        <v>687</v>
      </c>
      <c r="D322" s="3" t="s">
        <v>76</v>
      </c>
      <c r="E322" s="2">
        <v>28082</v>
      </c>
      <c r="F322" s="2">
        <v>22.9</v>
      </c>
      <c r="G322" s="4">
        <v>36</v>
      </c>
      <c r="H322" t="s">
        <v>19</v>
      </c>
      <c r="I322" t="s">
        <v>57</v>
      </c>
      <c r="J322" t="s">
        <v>37</v>
      </c>
      <c r="K322" s="2">
        <v>102567</v>
      </c>
      <c r="L322" t="s">
        <v>29</v>
      </c>
      <c r="M322" s="2">
        <v>0.46</v>
      </c>
      <c r="N322" s="2">
        <v>0.59</v>
      </c>
      <c r="O322" s="2">
        <v>34512.78</v>
      </c>
      <c r="P322" s="2">
        <v>0</v>
      </c>
      <c r="Q322">
        <f t="shared" si="16"/>
        <v>47596.610169491527</v>
      </c>
      <c r="R322">
        <f t="shared" ca="1" si="17"/>
        <v>58</v>
      </c>
      <c r="S322" s="2">
        <f t="shared" si="18"/>
        <v>6430.7799999999988</v>
      </c>
      <c r="T322" s="18">
        <v>0.1</v>
      </c>
      <c r="U322">
        <f t="shared" si="19"/>
        <v>7073.8579999999993</v>
      </c>
    </row>
    <row r="323" spans="1:21" x14ac:dyDescent="0.3">
      <c r="A323" t="s">
        <v>688</v>
      </c>
      <c r="B323" s="1">
        <v>45027</v>
      </c>
      <c r="C323" t="s">
        <v>689</v>
      </c>
      <c r="D323" s="3" t="s">
        <v>72</v>
      </c>
      <c r="E323" s="2">
        <v>30241</v>
      </c>
      <c r="F323" s="2">
        <v>15.4</v>
      </c>
      <c r="G323" s="4">
        <v>60</v>
      </c>
      <c r="H323" t="s">
        <v>19</v>
      </c>
      <c r="I323" t="s">
        <v>20</v>
      </c>
      <c r="J323" t="s">
        <v>32</v>
      </c>
      <c r="K323" s="2">
        <v>77574</v>
      </c>
      <c r="L323" t="s">
        <v>33</v>
      </c>
      <c r="M323" s="2">
        <v>0.36</v>
      </c>
      <c r="N323" s="2">
        <v>0.82</v>
      </c>
      <c r="O323" s="2">
        <v>34898.11</v>
      </c>
      <c r="P323" s="2">
        <v>0</v>
      </c>
      <c r="Q323">
        <f t="shared" ref="Q323:Q386" si="20">E323/N323</f>
        <v>36879.268292682929</v>
      </c>
      <c r="R323">
        <f t="shared" ref="R323:R386" ca="1" si="21">DATEDIF(B323, TODAY(), "M")</f>
        <v>35</v>
      </c>
      <c r="S323" s="2">
        <f t="shared" ref="S323:S386" si="22">(O323+P323)-E323</f>
        <v>4657.1100000000006</v>
      </c>
      <c r="T323" s="18">
        <v>0.1</v>
      </c>
      <c r="U323">
        <f t="shared" ref="U323:U386" si="23">S323*(1+T323)</f>
        <v>5122.8210000000008</v>
      </c>
    </row>
    <row r="324" spans="1:21" x14ac:dyDescent="0.3">
      <c r="A324" t="s">
        <v>690</v>
      </c>
      <c r="B324" s="1">
        <v>45278</v>
      </c>
      <c r="C324" t="s">
        <v>691</v>
      </c>
      <c r="D324" s="3" t="s">
        <v>50</v>
      </c>
      <c r="E324" s="2">
        <v>31678</v>
      </c>
      <c r="F324" s="2">
        <v>14</v>
      </c>
      <c r="G324" s="4">
        <v>60</v>
      </c>
      <c r="H324" t="s">
        <v>26</v>
      </c>
      <c r="I324" t="s">
        <v>57</v>
      </c>
      <c r="J324" t="s">
        <v>28</v>
      </c>
      <c r="K324" s="2">
        <v>121051</v>
      </c>
      <c r="L324" t="s">
        <v>33</v>
      </c>
      <c r="M324" s="2">
        <v>0.22</v>
      </c>
      <c r="N324" s="2">
        <v>0.62</v>
      </c>
      <c r="O324" s="2">
        <v>5497.96</v>
      </c>
      <c r="P324" s="2">
        <v>0</v>
      </c>
      <c r="Q324">
        <f t="shared" si="20"/>
        <v>51093.548387096773</v>
      </c>
      <c r="R324">
        <f t="shared" ca="1" si="21"/>
        <v>27</v>
      </c>
      <c r="S324" s="2">
        <f t="shared" si="22"/>
        <v>-26180.04</v>
      </c>
      <c r="T324" s="18">
        <v>0.1</v>
      </c>
      <c r="U324">
        <f t="shared" si="23"/>
        <v>-28798.044000000002</v>
      </c>
    </row>
    <row r="325" spans="1:21" x14ac:dyDescent="0.3">
      <c r="A325" t="s">
        <v>692</v>
      </c>
      <c r="B325" s="1">
        <v>44937</v>
      </c>
      <c r="C325" t="s">
        <v>693</v>
      </c>
      <c r="D325" s="3" t="s">
        <v>72</v>
      </c>
      <c r="E325" s="2">
        <v>12745</v>
      </c>
      <c r="F325" s="2">
        <v>16.2</v>
      </c>
      <c r="G325" s="4">
        <v>60</v>
      </c>
      <c r="H325" t="s">
        <v>19</v>
      </c>
      <c r="I325" t="s">
        <v>41</v>
      </c>
      <c r="J325" t="s">
        <v>32</v>
      </c>
      <c r="K325" s="2">
        <v>132020</v>
      </c>
      <c r="L325" t="s">
        <v>22</v>
      </c>
      <c r="M325" s="2">
        <v>0.22</v>
      </c>
      <c r="N325" s="2">
        <v>0.64</v>
      </c>
      <c r="O325" s="2">
        <v>14809.69</v>
      </c>
      <c r="P325" s="2">
        <v>0</v>
      </c>
      <c r="Q325">
        <f t="shared" si="20"/>
        <v>19914.0625</v>
      </c>
      <c r="R325">
        <f t="shared" ca="1" si="21"/>
        <v>38</v>
      </c>
      <c r="S325" s="2">
        <f t="shared" si="22"/>
        <v>2064.6900000000005</v>
      </c>
      <c r="T325" s="18">
        <v>0.1</v>
      </c>
      <c r="U325">
        <f t="shared" si="23"/>
        <v>2271.1590000000006</v>
      </c>
    </row>
    <row r="326" spans="1:21" x14ac:dyDescent="0.3">
      <c r="A326" t="s">
        <v>694</v>
      </c>
      <c r="B326" s="1">
        <v>44313</v>
      </c>
      <c r="C326" t="s">
        <v>695</v>
      </c>
      <c r="D326" s="3" t="s">
        <v>46</v>
      </c>
      <c r="E326" s="2">
        <v>27029</v>
      </c>
      <c r="F326" s="2">
        <v>8.3000000000000007</v>
      </c>
      <c r="G326" s="4">
        <v>36</v>
      </c>
      <c r="H326" t="s">
        <v>26</v>
      </c>
      <c r="I326" t="s">
        <v>36</v>
      </c>
      <c r="J326" t="s">
        <v>32</v>
      </c>
      <c r="K326" s="2">
        <v>66182</v>
      </c>
      <c r="L326" t="s">
        <v>29</v>
      </c>
      <c r="M326" s="2">
        <v>0.46</v>
      </c>
      <c r="N326" s="2">
        <v>0.88</v>
      </c>
      <c r="O326" s="2">
        <v>7993.68</v>
      </c>
      <c r="P326" s="2">
        <v>0</v>
      </c>
      <c r="Q326">
        <f t="shared" si="20"/>
        <v>30714.772727272728</v>
      </c>
      <c r="R326">
        <f t="shared" ca="1" si="21"/>
        <v>58</v>
      </c>
      <c r="S326" s="2">
        <f t="shared" si="22"/>
        <v>-19035.32</v>
      </c>
      <c r="T326" s="18">
        <v>0.1</v>
      </c>
      <c r="U326">
        <f t="shared" si="23"/>
        <v>-20938.852000000003</v>
      </c>
    </row>
    <row r="327" spans="1:21" x14ac:dyDescent="0.3">
      <c r="A327" t="s">
        <v>696</v>
      </c>
      <c r="B327" s="1">
        <v>44987</v>
      </c>
      <c r="C327" t="s">
        <v>697</v>
      </c>
      <c r="D327" s="3" t="s">
        <v>46</v>
      </c>
      <c r="E327" s="2">
        <v>14025</v>
      </c>
      <c r="F327" s="2">
        <v>17.3</v>
      </c>
      <c r="G327" s="4">
        <v>36</v>
      </c>
      <c r="H327" t="s">
        <v>19</v>
      </c>
      <c r="I327" t="s">
        <v>20</v>
      </c>
      <c r="J327" t="s">
        <v>32</v>
      </c>
      <c r="K327" s="2">
        <v>146136</v>
      </c>
      <c r="L327" t="s">
        <v>29</v>
      </c>
      <c r="M327" s="2">
        <v>0.11</v>
      </c>
      <c r="N327" s="2">
        <v>0.71</v>
      </c>
      <c r="O327" s="2">
        <v>16451.32</v>
      </c>
      <c r="P327" s="2">
        <v>0</v>
      </c>
      <c r="Q327">
        <f t="shared" si="20"/>
        <v>19753.521126760563</v>
      </c>
      <c r="R327">
        <f t="shared" ca="1" si="21"/>
        <v>36</v>
      </c>
      <c r="S327" s="2">
        <f t="shared" si="22"/>
        <v>2426.3199999999997</v>
      </c>
      <c r="T327" s="18">
        <v>0.1</v>
      </c>
      <c r="U327">
        <f t="shared" si="23"/>
        <v>2668.9519999999998</v>
      </c>
    </row>
    <row r="328" spans="1:21" x14ac:dyDescent="0.3">
      <c r="A328" t="s">
        <v>698</v>
      </c>
      <c r="B328" s="1">
        <v>45209</v>
      </c>
      <c r="C328" t="s">
        <v>699</v>
      </c>
      <c r="D328" s="3" t="s">
        <v>53</v>
      </c>
      <c r="E328" s="2">
        <v>37124</v>
      </c>
      <c r="F328" s="2">
        <v>12.3</v>
      </c>
      <c r="G328" s="4">
        <v>36</v>
      </c>
      <c r="H328" t="s">
        <v>26</v>
      </c>
      <c r="I328" t="s">
        <v>73</v>
      </c>
      <c r="J328" t="s">
        <v>28</v>
      </c>
      <c r="K328" s="2">
        <v>30570</v>
      </c>
      <c r="L328" t="s">
        <v>22</v>
      </c>
      <c r="M328" s="2">
        <v>0.23</v>
      </c>
      <c r="N328" s="2">
        <v>0.8</v>
      </c>
      <c r="O328" s="2">
        <v>5431.36</v>
      </c>
      <c r="P328" s="2">
        <v>0</v>
      </c>
      <c r="Q328">
        <f t="shared" si="20"/>
        <v>46405</v>
      </c>
      <c r="R328">
        <f t="shared" ca="1" si="21"/>
        <v>29</v>
      </c>
      <c r="S328" s="2">
        <f t="shared" si="22"/>
        <v>-31692.639999999999</v>
      </c>
      <c r="T328" s="18">
        <v>0.1</v>
      </c>
      <c r="U328">
        <f t="shared" si="23"/>
        <v>-34861.904000000002</v>
      </c>
    </row>
    <row r="329" spans="1:21" x14ac:dyDescent="0.3">
      <c r="A329" t="s">
        <v>700</v>
      </c>
      <c r="B329" s="1">
        <v>45278</v>
      </c>
      <c r="C329" t="s">
        <v>701</v>
      </c>
      <c r="D329" s="3" t="s">
        <v>56</v>
      </c>
      <c r="E329" s="2">
        <v>15288</v>
      </c>
      <c r="F329" s="2">
        <v>22.9</v>
      </c>
      <c r="G329" s="4">
        <v>36</v>
      </c>
      <c r="H329" t="s">
        <v>19</v>
      </c>
      <c r="I329" t="s">
        <v>27</v>
      </c>
      <c r="J329" t="s">
        <v>37</v>
      </c>
      <c r="K329" s="2">
        <v>127790</v>
      </c>
      <c r="L329" t="s">
        <v>22</v>
      </c>
      <c r="M329" s="2">
        <v>0.32</v>
      </c>
      <c r="N329" s="2">
        <v>0.68</v>
      </c>
      <c r="O329" s="2">
        <v>18788.95</v>
      </c>
      <c r="P329" s="2">
        <v>0</v>
      </c>
      <c r="Q329">
        <f t="shared" si="20"/>
        <v>22482.352941176468</v>
      </c>
      <c r="R329">
        <f t="shared" ca="1" si="21"/>
        <v>27</v>
      </c>
      <c r="S329" s="2">
        <f t="shared" si="22"/>
        <v>3500.9500000000007</v>
      </c>
      <c r="T329" s="18">
        <v>0.1</v>
      </c>
      <c r="U329">
        <f t="shared" si="23"/>
        <v>3851.045000000001</v>
      </c>
    </row>
    <row r="330" spans="1:21" x14ac:dyDescent="0.3">
      <c r="A330" t="s">
        <v>702</v>
      </c>
      <c r="B330" s="1">
        <v>44830</v>
      </c>
      <c r="C330" t="s">
        <v>703</v>
      </c>
      <c r="D330" s="3" t="s">
        <v>46</v>
      </c>
      <c r="E330" s="2">
        <v>24650</v>
      </c>
      <c r="F330" s="2">
        <v>8.4</v>
      </c>
      <c r="G330" s="4">
        <v>36</v>
      </c>
      <c r="H330" t="s">
        <v>19</v>
      </c>
      <c r="I330" t="s">
        <v>20</v>
      </c>
      <c r="J330" t="s">
        <v>47</v>
      </c>
      <c r="K330" s="2">
        <v>49288</v>
      </c>
      <c r="L330" t="s">
        <v>29</v>
      </c>
      <c r="M330" s="2">
        <v>0.16</v>
      </c>
      <c r="N330" s="2">
        <v>0.63</v>
      </c>
      <c r="O330" s="2">
        <v>26720.6</v>
      </c>
      <c r="P330" s="2">
        <v>0</v>
      </c>
      <c r="Q330">
        <f t="shared" si="20"/>
        <v>39126.984126984127</v>
      </c>
      <c r="R330">
        <f t="shared" ca="1" si="21"/>
        <v>41</v>
      </c>
      <c r="S330" s="2">
        <f t="shared" si="22"/>
        <v>2070.5999999999985</v>
      </c>
      <c r="T330" s="18">
        <v>0.1</v>
      </c>
      <c r="U330">
        <f t="shared" si="23"/>
        <v>2277.6599999999985</v>
      </c>
    </row>
    <row r="331" spans="1:21" x14ac:dyDescent="0.3">
      <c r="A331" t="s">
        <v>704</v>
      </c>
      <c r="B331" s="1">
        <v>44709</v>
      </c>
      <c r="C331" t="s">
        <v>705</v>
      </c>
      <c r="D331" s="3" t="s">
        <v>65</v>
      </c>
      <c r="E331" s="2">
        <v>7540</v>
      </c>
      <c r="F331" s="2">
        <v>15.1</v>
      </c>
      <c r="G331" s="4">
        <v>60</v>
      </c>
      <c r="H331" t="s">
        <v>19</v>
      </c>
      <c r="I331" t="s">
        <v>20</v>
      </c>
      <c r="J331" t="s">
        <v>37</v>
      </c>
      <c r="K331" s="2">
        <v>108824</v>
      </c>
      <c r="L331" t="s">
        <v>22</v>
      </c>
      <c r="M331" s="2">
        <v>0.14000000000000001</v>
      </c>
      <c r="N331" s="2">
        <v>0.78</v>
      </c>
      <c r="O331" s="2">
        <v>8678.5400000000009</v>
      </c>
      <c r="P331" s="2">
        <v>0</v>
      </c>
      <c r="Q331">
        <f t="shared" si="20"/>
        <v>9666.6666666666661</v>
      </c>
      <c r="R331">
        <f t="shared" ca="1" si="21"/>
        <v>45</v>
      </c>
      <c r="S331" s="2">
        <f t="shared" si="22"/>
        <v>1138.5400000000009</v>
      </c>
      <c r="T331" s="18">
        <v>0.1</v>
      </c>
      <c r="U331">
        <f t="shared" si="23"/>
        <v>1252.3940000000011</v>
      </c>
    </row>
    <row r="332" spans="1:21" x14ac:dyDescent="0.3">
      <c r="A332" t="s">
        <v>706</v>
      </c>
      <c r="B332" s="1">
        <v>44998</v>
      </c>
      <c r="C332" t="s">
        <v>707</v>
      </c>
      <c r="D332" s="3" t="s">
        <v>18</v>
      </c>
      <c r="E332" s="2">
        <v>33232</v>
      </c>
      <c r="F332" s="2">
        <v>17</v>
      </c>
      <c r="G332" s="4">
        <v>36</v>
      </c>
      <c r="H332" t="s">
        <v>19</v>
      </c>
      <c r="I332" t="s">
        <v>36</v>
      </c>
      <c r="J332" t="s">
        <v>28</v>
      </c>
      <c r="K332" s="2">
        <v>59877</v>
      </c>
      <c r="L332" t="s">
        <v>22</v>
      </c>
      <c r="M332" s="2">
        <v>0.43</v>
      </c>
      <c r="N332" s="2">
        <v>0.56999999999999995</v>
      </c>
      <c r="O332" s="2">
        <v>38881.440000000002</v>
      </c>
      <c r="P332" s="2">
        <v>0</v>
      </c>
      <c r="Q332">
        <f t="shared" si="20"/>
        <v>58301.754385964916</v>
      </c>
      <c r="R332">
        <f t="shared" ca="1" si="21"/>
        <v>36</v>
      </c>
      <c r="S332" s="2">
        <f t="shared" si="22"/>
        <v>5649.4400000000023</v>
      </c>
      <c r="T332" s="18">
        <v>0.1</v>
      </c>
      <c r="U332">
        <f t="shared" si="23"/>
        <v>6214.3840000000027</v>
      </c>
    </row>
    <row r="333" spans="1:21" x14ac:dyDescent="0.3">
      <c r="A333" t="s">
        <v>708</v>
      </c>
      <c r="B333" s="1">
        <v>44756</v>
      </c>
      <c r="C333" t="s">
        <v>709</v>
      </c>
      <c r="D333" s="3" t="s">
        <v>40</v>
      </c>
      <c r="E333" s="2">
        <v>17422</v>
      </c>
      <c r="F333" s="2">
        <v>5.7</v>
      </c>
      <c r="G333" s="4">
        <v>36</v>
      </c>
      <c r="H333" t="s">
        <v>81</v>
      </c>
      <c r="I333" t="s">
        <v>41</v>
      </c>
      <c r="J333" t="s">
        <v>47</v>
      </c>
      <c r="K333" s="2">
        <v>114425</v>
      </c>
      <c r="L333" t="s">
        <v>22</v>
      </c>
      <c r="M333" s="2">
        <v>0.46</v>
      </c>
      <c r="N333" s="2">
        <v>0.67</v>
      </c>
      <c r="O333" s="2">
        <v>4227.59</v>
      </c>
      <c r="P333" s="2">
        <v>6267.26</v>
      </c>
      <c r="Q333">
        <f t="shared" si="20"/>
        <v>26002.985074626864</v>
      </c>
      <c r="R333">
        <f t="shared" ca="1" si="21"/>
        <v>44</v>
      </c>
      <c r="S333" s="2">
        <f t="shared" si="22"/>
        <v>-6927.15</v>
      </c>
      <c r="T333" s="18">
        <v>0.1</v>
      </c>
      <c r="U333">
        <f t="shared" si="23"/>
        <v>-7619.8649999999998</v>
      </c>
    </row>
    <row r="334" spans="1:21" x14ac:dyDescent="0.3">
      <c r="A334" t="s">
        <v>710</v>
      </c>
      <c r="B334" s="1">
        <v>44684</v>
      </c>
      <c r="C334" t="s">
        <v>711</v>
      </c>
      <c r="D334" s="3" t="s">
        <v>46</v>
      </c>
      <c r="E334" s="2">
        <v>4342</v>
      </c>
      <c r="F334" s="2">
        <v>12.3</v>
      </c>
      <c r="G334" s="4">
        <v>36</v>
      </c>
      <c r="H334" t="s">
        <v>19</v>
      </c>
      <c r="I334" t="s">
        <v>41</v>
      </c>
      <c r="J334" t="s">
        <v>47</v>
      </c>
      <c r="K334" s="2">
        <v>30917</v>
      </c>
      <c r="L334" t="s">
        <v>29</v>
      </c>
      <c r="M334" s="2">
        <v>0.43</v>
      </c>
      <c r="N334" s="2">
        <v>0.59</v>
      </c>
      <c r="O334" s="2">
        <v>4876.07</v>
      </c>
      <c r="P334" s="2">
        <v>0</v>
      </c>
      <c r="Q334">
        <f t="shared" si="20"/>
        <v>7359.3220338983056</v>
      </c>
      <c r="R334">
        <f t="shared" ca="1" si="21"/>
        <v>46</v>
      </c>
      <c r="S334" s="2">
        <f t="shared" si="22"/>
        <v>534.06999999999971</v>
      </c>
      <c r="T334" s="18">
        <v>0.1</v>
      </c>
      <c r="U334">
        <f t="shared" si="23"/>
        <v>587.47699999999975</v>
      </c>
    </row>
    <row r="335" spans="1:21" x14ac:dyDescent="0.3">
      <c r="A335" t="s">
        <v>712</v>
      </c>
      <c r="B335" s="1">
        <v>45093</v>
      </c>
      <c r="C335" t="s">
        <v>713</v>
      </c>
      <c r="D335" s="3" t="s">
        <v>53</v>
      </c>
      <c r="E335" s="2">
        <v>36612</v>
      </c>
      <c r="F335" s="2">
        <v>19.7</v>
      </c>
      <c r="G335" s="4">
        <v>36</v>
      </c>
      <c r="H335" t="s">
        <v>26</v>
      </c>
      <c r="I335" t="s">
        <v>84</v>
      </c>
      <c r="J335" t="s">
        <v>47</v>
      </c>
      <c r="K335" s="2">
        <v>105602</v>
      </c>
      <c r="L335" t="s">
        <v>22</v>
      </c>
      <c r="M335" s="2">
        <v>0.46</v>
      </c>
      <c r="N335" s="2">
        <v>0.81</v>
      </c>
      <c r="O335" s="2">
        <v>7072.66</v>
      </c>
      <c r="P335" s="2">
        <v>0</v>
      </c>
      <c r="Q335">
        <f t="shared" si="20"/>
        <v>45200</v>
      </c>
      <c r="R335">
        <f t="shared" ca="1" si="21"/>
        <v>33</v>
      </c>
      <c r="S335" s="2">
        <f t="shared" si="22"/>
        <v>-29539.34</v>
      </c>
      <c r="T335" s="18">
        <v>0.1</v>
      </c>
      <c r="U335">
        <f t="shared" si="23"/>
        <v>-32493.274000000001</v>
      </c>
    </row>
    <row r="336" spans="1:21" x14ac:dyDescent="0.3">
      <c r="A336" t="s">
        <v>714</v>
      </c>
      <c r="B336" s="1">
        <v>44900</v>
      </c>
      <c r="C336" t="s">
        <v>715</v>
      </c>
      <c r="D336" s="3" t="s">
        <v>40</v>
      </c>
      <c r="E336" s="2">
        <v>11396</v>
      </c>
      <c r="F336" s="2">
        <v>21.4</v>
      </c>
      <c r="G336" s="4">
        <v>36</v>
      </c>
      <c r="H336" t="s">
        <v>60</v>
      </c>
      <c r="I336" t="s">
        <v>27</v>
      </c>
      <c r="J336" t="s">
        <v>21</v>
      </c>
      <c r="K336" s="2">
        <v>125040</v>
      </c>
      <c r="L336" t="s">
        <v>33</v>
      </c>
      <c r="M336" s="2">
        <v>0.32</v>
      </c>
      <c r="N336" s="2">
        <v>0.92</v>
      </c>
      <c r="O336" s="2">
        <v>0</v>
      </c>
      <c r="P336" s="2">
        <v>0</v>
      </c>
      <c r="Q336">
        <f t="shared" si="20"/>
        <v>12386.95652173913</v>
      </c>
      <c r="R336">
        <f t="shared" ca="1" si="21"/>
        <v>39</v>
      </c>
      <c r="S336" s="2">
        <f t="shared" si="22"/>
        <v>-11396</v>
      </c>
      <c r="T336" s="18">
        <v>0.1</v>
      </c>
      <c r="U336">
        <f t="shared" si="23"/>
        <v>-12535.6</v>
      </c>
    </row>
    <row r="337" spans="1:21" x14ac:dyDescent="0.3">
      <c r="A337" t="s">
        <v>716</v>
      </c>
      <c r="B337" s="1">
        <v>44777</v>
      </c>
      <c r="C337" t="s">
        <v>717</v>
      </c>
      <c r="D337" s="3" t="s">
        <v>65</v>
      </c>
      <c r="E337" s="2">
        <v>18482</v>
      </c>
      <c r="F337" s="2">
        <v>11.3</v>
      </c>
      <c r="G337" s="4">
        <v>60</v>
      </c>
      <c r="H337" t="s">
        <v>26</v>
      </c>
      <c r="I337" t="s">
        <v>57</v>
      </c>
      <c r="J337" t="s">
        <v>28</v>
      </c>
      <c r="K337" s="2">
        <v>94575</v>
      </c>
      <c r="L337" t="s">
        <v>33</v>
      </c>
      <c r="M337" s="2">
        <v>0.42</v>
      </c>
      <c r="N337" s="2">
        <v>0.95</v>
      </c>
      <c r="O337" s="2">
        <v>3142.25</v>
      </c>
      <c r="P337" s="2">
        <v>0</v>
      </c>
      <c r="Q337">
        <f t="shared" si="20"/>
        <v>19454.736842105263</v>
      </c>
      <c r="R337">
        <f t="shared" ca="1" si="21"/>
        <v>43</v>
      </c>
      <c r="S337" s="2">
        <f t="shared" si="22"/>
        <v>-15339.75</v>
      </c>
      <c r="T337" s="18">
        <v>0.1</v>
      </c>
      <c r="U337">
        <f t="shared" si="23"/>
        <v>-16873.725000000002</v>
      </c>
    </row>
    <row r="338" spans="1:21" x14ac:dyDescent="0.3">
      <c r="A338" t="s">
        <v>718</v>
      </c>
      <c r="B338" s="1">
        <v>44986</v>
      </c>
      <c r="C338" t="s">
        <v>719</v>
      </c>
      <c r="D338" s="3" t="s">
        <v>56</v>
      </c>
      <c r="E338" s="2">
        <v>24411</v>
      </c>
      <c r="F338" s="2">
        <v>21</v>
      </c>
      <c r="G338" s="4">
        <v>36</v>
      </c>
      <c r="H338" t="s">
        <v>19</v>
      </c>
      <c r="I338" t="s">
        <v>20</v>
      </c>
      <c r="J338" t="s">
        <v>21</v>
      </c>
      <c r="K338" s="2">
        <v>102518</v>
      </c>
      <c r="L338" t="s">
        <v>29</v>
      </c>
      <c r="M338" s="2">
        <v>0.25</v>
      </c>
      <c r="N338" s="2">
        <v>0.7</v>
      </c>
      <c r="O338" s="2">
        <v>29537.31</v>
      </c>
      <c r="P338" s="2">
        <v>0</v>
      </c>
      <c r="Q338">
        <f t="shared" si="20"/>
        <v>34872.857142857145</v>
      </c>
      <c r="R338">
        <f t="shared" ca="1" si="21"/>
        <v>36</v>
      </c>
      <c r="S338" s="2">
        <f t="shared" si="22"/>
        <v>5126.3100000000013</v>
      </c>
      <c r="T338" s="18">
        <v>0.1</v>
      </c>
      <c r="U338">
        <f t="shared" si="23"/>
        <v>5638.9410000000016</v>
      </c>
    </row>
    <row r="339" spans="1:21" x14ac:dyDescent="0.3">
      <c r="A339" t="s">
        <v>720</v>
      </c>
      <c r="B339" s="1">
        <v>45057</v>
      </c>
      <c r="C339" t="s">
        <v>721</v>
      </c>
      <c r="D339" s="3" t="s">
        <v>76</v>
      </c>
      <c r="E339" s="2">
        <v>14261</v>
      </c>
      <c r="F339" s="2">
        <v>24.4</v>
      </c>
      <c r="G339" s="4">
        <v>36</v>
      </c>
      <c r="H339" t="s">
        <v>81</v>
      </c>
      <c r="I339" t="s">
        <v>20</v>
      </c>
      <c r="J339" t="s">
        <v>47</v>
      </c>
      <c r="K339" s="2">
        <v>69104</v>
      </c>
      <c r="L339" t="s">
        <v>22</v>
      </c>
      <c r="M339" s="2">
        <v>0.37</v>
      </c>
      <c r="N339" s="2">
        <v>0.61</v>
      </c>
      <c r="O339" s="2">
        <v>5563.15</v>
      </c>
      <c r="P339" s="2">
        <v>3087.26</v>
      </c>
      <c r="Q339">
        <f t="shared" si="20"/>
        <v>23378.688524590165</v>
      </c>
      <c r="R339">
        <f t="shared" ca="1" si="21"/>
        <v>34</v>
      </c>
      <c r="S339" s="2">
        <f t="shared" si="22"/>
        <v>-5610.59</v>
      </c>
      <c r="T339" s="18">
        <v>0.1</v>
      </c>
      <c r="U339">
        <f t="shared" si="23"/>
        <v>-6171.6490000000003</v>
      </c>
    </row>
    <row r="340" spans="1:21" x14ac:dyDescent="0.3">
      <c r="A340" t="s">
        <v>722</v>
      </c>
      <c r="B340" s="1">
        <v>44443</v>
      </c>
      <c r="C340" t="s">
        <v>723</v>
      </c>
      <c r="D340" s="3" t="s">
        <v>72</v>
      </c>
      <c r="E340" s="2">
        <v>4093</v>
      </c>
      <c r="F340" s="2">
        <v>22.1</v>
      </c>
      <c r="G340" s="4">
        <v>36</v>
      </c>
      <c r="H340" t="s">
        <v>19</v>
      </c>
      <c r="I340" t="s">
        <v>27</v>
      </c>
      <c r="J340" t="s">
        <v>21</v>
      </c>
      <c r="K340" s="2">
        <v>48062</v>
      </c>
      <c r="L340" t="s">
        <v>33</v>
      </c>
      <c r="M340" s="2">
        <v>0.5</v>
      </c>
      <c r="N340" s="2">
        <v>0.7</v>
      </c>
      <c r="O340" s="2">
        <v>4997.55</v>
      </c>
      <c r="P340" s="2">
        <v>0</v>
      </c>
      <c r="Q340">
        <f t="shared" si="20"/>
        <v>5847.1428571428578</v>
      </c>
      <c r="R340">
        <f t="shared" ca="1" si="21"/>
        <v>54</v>
      </c>
      <c r="S340" s="2">
        <f t="shared" si="22"/>
        <v>904.55000000000018</v>
      </c>
      <c r="T340" s="18">
        <v>0.1</v>
      </c>
      <c r="U340">
        <f t="shared" si="23"/>
        <v>995.00500000000034</v>
      </c>
    </row>
    <row r="341" spans="1:21" x14ac:dyDescent="0.3">
      <c r="A341" t="s">
        <v>724</v>
      </c>
      <c r="B341" s="1">
        <v>44350</v>
      </c>
      <c r="C341" t="s">
        <v>725</v>
      </c>
      <c r="D341" s="3" t="s">
        <v>65</v>
      </c>
      <c r="E341" s="2">
        <v>12722</v>
      </c>
      <c r="F341" s="2">
        <v>7.4</v>
      </c>
      <c r="G341" s="4">
        <v>60</v>
      </c>
      <c r="H341" t="s">
        <v>19</v>
      </c>
      <c r="I341" t="s">
        <v>84</v>
      </c>
      <c r="J341" t="s">
        <v>21</v>
      </c>
      <c r="K341" s="2">
        <v>46999</v>
      </c>
      <c r="L341" t="s">
        <v>29</v>
      </c>
      <c r="M341" s="2">
        <v>0.19</v>
      </c>
      <c r="N341" s="2">
        <v>0.88</v>
      </c>
      <c r="O341" s="2">
        <v>13663.43</v>
      </c>
      <c r="P341" s="2">
        <v>0</v>
      </c>
      <c r="Q341">
        <f t="shared" si="20"/>
        <v>14456.818181818182</v>
      </c>
      <c r="R341">
        <f t="shared" ca="1" si="21"/>
        <v>57</v>
      </c>
      <c r="S341" s="2">
        <f t="shared" si="22"/>
        <v>941.43000000000029</v>
      </c>
      <c r="T341" s="18">
        <v>0.1</v>
      </c>
      <c r="U341">
        <f t="shared" si="23"/>
        <v>1035.5730000000003</v>
      </c>
    </row>
    <row r="342" spans="1:21" x14ac:dyDescent="0.3">
      <c r="A342" t="s">
        <v>726</v>
      </c>
      <c r="B342" s="1">
        <v>45193</v>
      </c>
      <c r="C342" t="s">
        <v>727</v>
      </c>
      <c r="D342" s="3" t="s">
        <v>50</v>
      </c>
      <c r="E342" s="2">
        <v>23042</v>
      </c>
      <c r="F342" s="2">
        <v>19.8</v>
      </c>
      <c r="G342" s="4">
        <v>60</v>
      </c>
      <c r="H342" t="s">
        <v>81</v>
      </c>
      <c r="I342" t="s">
        <v>84</v>
      </c>
      <c r="J342" t="s">
        <v>28</v>
      </c>
      <c r="K342" s="2">
        <v>91845</v>
      </c>
      <c r="L342" t="s">
        <v>33</v>
      </c>
      <c r="M342" s="2">
        <v>0.26</v>
      </c>
      <c r="N342" s="2">
        <v>0.59</v>
      </c>
      <c r="O342" s="2">
        <v>3410.73</v>
      </c>
      <c r="P342" s="2">
        <v>2992.03</v>
      </c>
      <c r="Q342">
        <f t="shared" si="20"/>
        <v>39054.237288135599</v>
      </c>
      <c r="R342">
        <f t="shared" ca="1" si="21"/>
        <v>29</v>
      </c>
      <c r="S342" s="2">
        <f t="shared" si="22"/>
        <v>-16639.239999999998</v>
      </c>
      <c r="T342" s="18">
        <v>0.1</v>
      </c>
      <c r="U342">
        <f t="shared" si="23"/>
        <v>-18303.164000000001</v>
      </c>
    </row>
    <row r="343" spans="1:21" x14ac:dyDescent="0.3">
      <c r="A343" t="s">
        <v>728</v>
      </c>
      <c r="B343" s="1">
        <v>44893</v>
      </c>
      <c r="C343" t="s">
        <v>729</v>
      </c>
      <c r="D343" s="3" t="s">
        <v>25</v>
      </c>
      <c r="E343" s="2">
        <v>29087</v>
      </c>
      <c r="F343" s="2">
        <v>11.4</v>
      </c>
      <c r="G343" s="4">
        <v>60</v>
      </c>
      <c r="H343" t="s">
        <v>26</v>
      </c>
      <c r="I343" t="s">
        <v>36</v>
      </c>
      <c r="J343" t="s">
        <v>32</v>
      </c>
      <c r="K343" s="2">
        <v>39941</v>
      </c>
      <c r="L343" t="s">
        <v>22</v>
      </c>
      <c r="M343" s="2">
        <v>0.28999999999999998</v>
      </c>
      <c r="N343" s="2">
        <v>0.93</v>
      </c>
      <c r="O343" s="2">
        <v>11759.78</v>
      </c>
      <c r="P343" s="2">
        <v>0</v>
      </c>
      <c r="Q343">
        <f t="shared" si="20"/>
        <v>31276.344086021505</v>
      </c>
      <c r="R343">
        <f t="shared" ca="1" si="21"/>
        <v>39</v>
      </c>
      <c r="S343" s="2">
        <f t="shared" si="22"/>
        <v>-17327.22</v>
      </c>
      <c r="T343" s="18">
        <v>0.1</v>
      </c>
      <c r="U343">
        <f t="shared" si="23"/>
        <v>-19059.942000000003</v>
      </c>
    </row>
    <row r="344" spans="1:21" x14ac:dyDescent="0.3">
      <c r="A344" t="s">
        <v>730</v>
      </c>
      <c r="B344" s="1">
        <v>45289</v>
      </c>
      <c r="C344" t="s">
        <v>731</v>
      </c>
      <c r="D344" s="3" t="s">
        <v>53</v>
      </c>
      <c r="E344" s="2">
        <v>33347</v>
      </c>
      <c r="F344" s="2">
        <v>24.8</v>
      </c>
      <c r="G344" s="4">
        <v>36</v>
      </c>
      <c r="H344" t="s">
        <v>19</v>
      </c>
      <c r="I344" t="s">
        <v>84</v>
      </c>
      <c r="J344" t="s">
        <v>21</v>
      </c>
      <c r="K344" s="2">
        <v>91169</v>
      </c>
      <c r="L344" t="s">
        <v>29</v>
      </c>
      <c r="M344" s="2">
        <v>0.16</v>
      </c>
      <c r="N344" s="2">
        <v>0.65</v>
      </c>
      <c r="O344" s="2">
        <v>41617.06</v>
      </c>
      <c r="P344" s="2">
        <v>0</v>
      </c>
      <c r="Q344">
        <f t="shared" si="20"/>
        <v>51303.076923076922</v>
      </c>
      <c r="R344">
        <f t="shared" ca="1" si="21"/>
        <v>26</v>
      </c>
      <c r="S344" s="2">
        <f t="shared" si="22"/>
        <v>8270.0599999999977</v>
      </c>
      <c r="T344" s="18">
        <v>0.1</v>
      </c>
      <c r="U344">
        <f t="shared" si="23"/>
        <v>9097.0659999999989</v>
      </c>
    </row>
    <row r="345" spans="1:21" x14ac:dyDescent="0.3">
      <c r="A345" t="s">
        <v>732</v>
      </c>
      <c r="B345" s="1">
        <v>45267</v>
      </c>
      <c r="C345" t="s">
        <v>733</v>
      </c>
      <c r="D345" s="3" t="s">
        <v>72</v>
      </c>
      <c r="E345" s="2">
        <v>34756</v>
      </c>
      <c r="F345" s="2">
        <v>14.7</v>
      </c>
      <c r="G345" s="4">
        <v>60</v>
      </c>
      <c r="H345" t="s">
        <v>19</v>
      </c>
      <c r="I345" t="s">
        <v>41</v>
      </c>
      <c r="J345" t="s">
        <v>21</v>
      </c>
      <c r="K345" s="2">
        <v>53470</v>
      </c>
      <c r="L345" t="s">
        <v>33</v>
      </c>
      <c r="M345" s="2">
        <v>0.13</v>
      </c>
      <c r="N345" s="2">
        <v>0.94</v>
      </c>
      <c r="O345" s="2">
        <v>39865.129999999997</v>
      </c>
      <c r="P345" s="2">
        <v>0</v>
      </c>
      <c r="Q345">
        <f t="shared" si="20"/>
        <v>36974.468085106382</v>
      </c>
      <c r="R345">
        <f t="shared" ca="1" si="21"/>
        <v>27</v>
      </c>
      <c r="S345" s="2">
        <f t="shared" si="22"/>
        <v>5109.1299999999974</v>
      </c>
      <c r="T345" s="18">
        <v>0.1</v>
      </c>
      <c r="U345">
        <f t="shared" si="23"/>
        <v>5620.0429999999978</v>
      </c>
    </row>
    <row r="346" spans="1:21" x14ac:dyDescent="0.3">
      <c r="A346" t="s">
        <v>734</v>
      </c>
      <c r="B346" s="1">
        <v>45205</v>
      </c>
      <c r="C346" t="s">
        <v>735</v>
      </c>
      <c r="D346" s="3" t="s">
        <v>50</v>
      </c>
      <c r="E346" s="2">
        <v>17335</v>
      </c>
      <c r="F346" s="2">
        <v>7.4</v>
      </c>
      <c r="G346" s="4">
        <v>36</v>
      </c>
      <c r="H346" t="s">
        <v>19</v>
      </c>
      <c r="I346" t="s">
        <v>20</v>
      </c>
      <c r="J346" t="s">
        <v>47</v>
      </c>
      <c r="K346" s="2">
        <v>140684</v>
      </c>
      <c r="L346" t="s">
        <v>29</v>
      </c>
      <c r="M346" s="2">
        <v>0.43</v>
      </c>
      <c r="N346" s="2">
        <v>0.88</v>
      </c>
      <c r="O346" s="2">
        <v>18617.79</v>
      </c>
      <c r="P346" s="2">
        <v>0</v>
      </c>
      <c r="Q346">
        <f t="shared" si="20"/>
        <v>19698.863636363636</v>
      </c>
      <c r="R346">
        <f t="shared" ca="1" si="21"/>
        <v>29</v>
      </c>
      <c r="S346" s="2">
        <f t="shared" si="22"/>
        <v>1282.7900000000009</v>
      </c>
      <c r="T346" s="18">
        <v>0.1</v>
      </c>
      <c r="U346">
        <f t="shared" si="23"/>
        <v>1411.0690000000011</v>
      </c>
    </row>
    <row r="347" spans="1:21" x14ac:dyDescent="0.3">
      <c r="A347" t="s">
        <v>736</v>
      </c>
      <c r="B347" s="1">
        <v>44290</v>
      </c>
      <c r="C347" t="s">
        <v>737</v>
      </c>
      <c r="D347" s="3" t="s">
        <v>76</v>
      </c>
      <c r="E347" s="2">
        <v>29602</v>
      </c>
      <c r="F347" s="2">
        <v>19.5</v>
      </c>
      <c r="G347" s="4">
        <v>36</v>
      </c>
      <c r="H347" t="s">
        <v>19</v>
      </c>
      <c r="I347" t="s">
        <v>27</v>
      </c>
      <c r="J347" t="s">
        <v>47</v>
      </c>
      <c r="K347" s="2">
        <v>89821</v>
      </c>
      <c r="L347" t="s">
        <v>33</v>
      </c>
      <c r="M347" s="2">
        <v>0.49</v>
      </c>
      <c r="N347" s="2">
        <v>0.86</v>
      </c>
      <c r="O347" s="2">
        <v>35374.39</v>
      </c>
      <c r="P347" s="2">
        <v>0</v>
      </c>
      <c r="Q347">
        <f t="shared" si="20"/>
        <v>34420.930232558138</v>
      </c>
      <c r="R347">
        <f t="shared" ca="1" si="21"/>
        <v>59</v>
      </c>
      <c r="S347" s="2">
        <f t="shared" si="22"/>
        <v>5772.3899999999994</v>
      </c>
      <c r="T347" s="18">
        <v>0.1</v>
      </c>
      <c r="U347">
        <f t="shared" si="23"/>
        <v>6349.6289999999999</v>
      </c>
    </row>
    <row r="348" spans="1:21" x14ac:dyDescent="0.3">
      <c r="A348" t="s">
        <v>738</v>
      </c>
      <c r="B348" s="1">
        <v>45154</v>
      </c>
      <c r="C348" t="s">
        <v>739</v>
      </c>
      <c r="D348" s="3" t="s">
        <v>50</v>
      </c>
      <c r="E348" s="2">
        <v>35450</v>
      </c>
      <c r="F348" s="2">
        <v>11.5</v>
      </c>
      <c r="G348" s="4">
        <v>60</v>
      </c>
      <c r="H348" t="s">
        <v>19</v>
      </c>
      <c r="I348" t="s">
        <v>73</v>
      </c>
      <c r="J348" t="s">
        <v>47</v>
      </c>
      <c r="K348" s="2">
        <v>116669</v>
      </c>
      <c r="L348" t="s">
        <v>33</v>
      </c>
      <c r="M348" s="2">
        <v>0.26</v>
      </c>
      <c r="N348" s="2">
        <v>0.64</v>
      </c>
      <c r="O348" s="2">
        <v>39526.75</v>
      </c>
      <c r="P348" s="2">
        <v>0</v>
      </c>
      <c r="Q348">
        <f t="shared" si="20"/>
        <v>55390.625</v>
      </c>
      <c r="R348">
        <f t="shared" ca="1" si="21"/>
        <v>31</v>
      </c>
      <c r="S348" s="2">
        <f t="shared" si="22"/>
        <v>4076.75</v>
      </c>
      <c r="T348" s="18">
        <v>0.1</v>
      </c>
      <c r="U348">
        <f t="shared" si="23"/>
        <v>4484.4250000000002</v>
      </c>
    </row>
    <row r="349" spans="1:21" x14ac:dyDescent="0.3">
      <c r="A349" t="s">
        <v>740</v>
      </c>
      <c r="B349" s="1">
        <v>45208</v>
      </c>
      <c r="C349" t="s">
        <v>741</v>
      </c>
      <c r="D349" s="3" t="s">
        <v>56</v>
      </c>
      <c r="E349" s="2">
        <v>33196</v>
      </c>
      <c r="F349" s="2">
        <v>24.9</v>
      </c>
      <c r="G349" s="4">
        <v>36</v>
      </c>
      <c r="H349" t="s">
        <v>60</v>
      </c>
      <c r="I349" t="s">
        <v>57</v>
      </c>
      <c r="J349" t="s">
        <v>37</v>
      </c>
      <c r="K349" s="2">
        <v>148193</v>
      </c>
      <c r="L349" t="s">
        <v>22</v>
      </c>
      <c r="M349" s="2">
        <v>0.14000000000000001</v>
      </c>
      <c r="N349" s="2">
        <v>0.5</v>
      </c>
      <c r="O349" s="2">
        <v>0</v>
      </c>
      <c r="P349" s="2">
        <v>0</v>
      </c>
      <c r="Q349">
        <f t="shared" si="20"/>
        <v>66392</v>
      </c>
      <c r="R349">
        <f t="shared" ca="1" si="21"/>
        <v>29</v>
      </c>
      <c r="S349" s="2">
        <f t="shared" si="22"/>
        <v>-33196</v>
      </c>
      <c r="T349" s="18">
        <v>0.1</v>
      </c>
      <c r="U349">
        <f t="shared" si="23"/>
        <v>-36515.600000000006</v>
      </c>
    </row>
    <row r="350" spans="1:21" x14ac:dyDescent="0.3">
      <c r="A350" t="s">
        <v>742</v>
      </c>
      <c r="B350" s="1">
        <v>44649</v>
      </c>
      <c r="C350" t="s">
        <v>743</v>
      </c>
      <c r="D350" s="3" t="s">
        <v>25</v>
      </c>
      <c r="E350" s="2">
        <v>6626</v>
      </c>
      <c r="F350" s="2">
        <v>24.6</v>
      </c>
      <c r="G350" s="4">
        <v>36</v>
      </c>
      <c r="H350" t="s">
        <v>81</v>
      </c>
      <c r="I350" t="s">
        <v>41</v>
      </c>
      <c r="J350" t="s">
        <v>21</v>
      </c>
      <c r="K350" s="2">
        <v>74435</v>
      </c>
      <c r="L350" t="s">
        <v>22</v>
      </c>
      <c r="M350" s="2">
        <v>0.13</v>
      </c>
      <c r="N350" s="2">
        <v>0.67</v>
      </c>
      <c r="O350" s="2">
        <v>2618.92</v>
      </c>
      <c r="P350" s="2">
        <v>2120.33</v>
      </c>
      <c r="Q350">
        <f t="shared" si="20"/>
        <v>9889.552238805969</v>
      </c>
      <c r="R350">
        <f t="shared" ca="1" si="21"/>
        <v>47</v>
      </c>
      <c r="S350" s="2">
        <f t="shared" si="22"/>
        <v>-1886.75</v>
      </c>
      <c r="T350" s="18">
        <v>0.1</v>
      </c>
      <c r="U350">
        <f t="shared" si="23"/>
        <v>-2075.4250000000002</v>
      </c>
    </row>
    <row r="351" spans="1:21" x14ac:dyDescent="0.3">
      <c r="A351" t="s">
        <v>744</v>
      </c>
      <c r="B351" s="1">
        <v>45108</v>
      </c>
      <c r="C351" t="s">
        <v>745</v>
      </c>
      <c r="D351" s="3" t="s">
        <v>40</v>
      </c>
      <c r="E351" s="2">
        <v>8424</v>
      </c>
      <c r="F351" s="2">
        <v>18.100000000000001</v>
      </c>
      <c r="G351" s="4">
        <v>36</v>
      </c>
      <c r="H351" t="s">
        <v>81</v>
      </c>
      <c r="I351" t="s">
        <v>36</v>
      </c>
      <c r="J351" t="s">
        <v>47</v>
      </c>
      <c r="K351" s="2">
        <v>34529</v>
      </c>
      <c r="L351" t="s">
        <v>33</v>
      </c>
      <c r="M351" s="2">
        <v>0.46</v>
      </c>
      <c r="N351" s="2">
        <v>0.64</v>
      </c>
      <c r="O351" s="2">
        <v>892.7</v>
      </c>
      <c r="P351" s="2">
        <v>1919.6</v>
      </c>
      <c r="Q351">
        <f t="shared" si="20"/>
        <v>13162.5</v>
      </c>
      <c r="R351">
        <f t="shared" ca="1" si="21"/>
        <v>32</v>
      </c>
      <c r="S351" s="2">
        <f t="shared" si="22"/>
        <v>-5611.7</v>
      </c>
      <c r="T351" s="18">
        <v>0.1</v>
      </c>
      <c r="U351">
        <f t="shared" si="23"/>
        <v>-6172.87</v>
      </c>
    </row>
    <row r="352" spans="1:21" x14ac:dyDescent="0.3">
      <c r="A352" t="s">
        <v>746</v>
      </c>
      <c r="B352" s="1">
        <v>44414</v>
      </c>
      <c r="C352" t="s">
        <v>747</v>
      </c>
      <c r="D352" s="3" t="s">
        <v>72</v>
      </c>
      <c r="E352" s="2">
        <v>13857</v>
      </c>
      <c r="F352" s="2">
        <v>7.6</v>
      </c>
      <c r="G352" s="4">
        <v>60</v>
      </c>
      <c r="H352" t="s">
        <v>19</v>
      </c>
      <c r="I352" t="s">
        <v>20</v>
      </c>
      <c r="J352" t="s">
        <v>28</v>
      </c>
      <c r="K352" s="2">
        <v>113055</v>
      </c>
      <c r="L352" t="s">
        <v>29</v>
      </c>
      <c r="M352" s="2">
        <v>0.28999999999999998</v>
      </c>
      <c r="N352" s="2">
        <v>0.52</v>
      </c>
      <c r="O352" s="2">
        <v>14910.13</v>
      </c>
      <c r="P352" s="2">
        <v>0</v>
      </c>
      <c r="Q352">
        <f t="shared" si="20"/>
        <v>26648.076923076922</v>
      </c>
      <c r="R352">
        <f t="shared" ca="1" si="21"/>
        <v>55</v>
      </c>
      <c r="S352" s="2">
        <f t="shared" si="22"/>
        <v>1053.1299999999992</v>
      </c>
      <c r="T352" s="18">
        <v>0.1</v>
      </c>
      <c r="U352">
        <f t="shared" si="23"/>
        <v>1158.4429999999993</v>
      </c>
    </row>
    <row r="353" spans="1:21" x14ac:dyDescent="0.3">
      <c r="A353" t="s">
        <v>748</v>
      </c>
      <c r="B353" s="1">
        <v>44670</v>
      </c>
      <c r="C353" t="s">
        <v>749</v>
      </c>
      <c r="D353" s="3" t="s">
        <v>25</v>
      </c>
      <c r="E353" s="2">
        <v>20982</v>
      </c>
      <c r="F353" s="2">
        <v>18.7</v>
      </c>
      <c r="G353" s="4">
        <v>36</v>
      </c>
      <c r="H353" t="s">
        <v>26</v>
      </c>
      <c r="I353" t="s">
        <v>20</v>
      </c>
      <c r="J353" t="s">
        <v>37</v>
      </c>
      <c r="K353" s="2">
        <v>42192</v>
      </c>
      <c r="L353" t="s">
        <v>29</v>
      </c>
      <c r="M353" s="2">
        <v>0.23</v>
      </c>
      <c r="N353" s="2">
        <v>0.73</v>
      </c>
      <c r="O353" s="2">
        <v>7649.25</v>
      </c>
      <c r="P353" s="2">
        <v>0</v>
      </c>
      <c r="Q353">
        <f t="shared" si="20"/>
        <v>28742.465753424658</v>
      </c>
      <c r="R353">
        <f t="shared" ca="1" si="21"/>
        <v>47</v>
      </c>
      <c r="S353" s="2">
        <f t="shared" si="22"/>
        <v>-13332.75</v>
      </c>
      <c r="T353" s="18">
        <v>0.1</v>
      </c>
      <c r="U353">
        <f t="shared" si="23"/>
        <v>-14666.025000000001</v>
      </c>
    </row>
    <row r="354" spans="1:21" x14ac:dyDescent="0.3">
      <c r="A354" t="s">
        <v>750</v>
      </c>
      <c r="B354" s="1">
        <v>44628</v>
      </c>
      <c r="C354" t="s">
        <v>751</v>
      </c>
      <c r="D354" s="3" t="s">
        <v>18</v>
      </c>
      <c r="E354" s="2">
        <v>12425</v>
      </c>
      <c r="F354" s="2">
        <v>6.9</v>
      </c>
      <c r="G354" s="4">
        <v>36</v>
      </c>
      <c r="H354" t="s">
        <v>81</v>
      </c>
      <c r="I354" t="s">
        <v>27</v>
      </c>
      <c r="J354" t="s">
        <v>32</v>
      </c>
      <c r="K354" s="2">
        <v>104102</v>
      </c>
      <c r="L354" t="s">
        <v>22</v>
      </c>
      <c r="M354" s="2">
        <v>0.28999999999999998</v>
      </c>
      <c r="N354" s="2">
        <v>0.68</v>
      </c>
      <c r="O354" s="2">
        <v>2185.23</v>
      </c>
      <c r="P354" s="2">
        <v>5996.91</v>
      </c>
      <c r="Q354">
        <f t="shared" si="20"/>
        <v>18272.058823529409</v>
      </c>
      <c r="R354">
        <f t="shared" ca="1" si="21"/>
        <v>48</v>
      </c>
      <c r="S354" s="2">
        <f t="shared" si="22"/>
        <v>-4242.8600000000006</v>
      </c>
      <c r="T354" s="18">
        <v>0.1</v>
      </c>
      <c r="U354">
        <f t="shared" si="23"/>
        <v>-4667.1460000000006</v>
      </c>
    </row>
    <row r="355" spans="1:21" x14ac:dyDescent="0.3">
      <c r="A355" t="s">
        <v>752</v>
      </c>
      <c r="B355" s="1">
        <v>44537</v>
      </c>
      <c r="C355" t="s">
        <v>753</v>
      </c>
      <c r="D355" s="3" t="s">
        <v>65</v>
      </c>
      <c r="E355" s="2">
        <v>2980</v>
      </c>
      <c r="F355" s="2">
        <v>5.6</v>
      </c>
      <c r="G355" s="4">
        <v>60</v>
      </c>
      <c r="H355" t="s">
        <v>81</v>
      </c>
      <c r="I355" t="s">
        <v>73</v>
      </c>
      <c r="J355" t="s">
        <v>21</v>
      </c>
      <c r="K355" s="2">
        <v>102762</v>
      </c>
      <c r="L355" t="s">
        <v>33</v>
      </c>
      <c r="M355" s="2">
        <v>0.23</v>
      </c>
      <c r="N355" s="2">
        <v>0.79</v>
      </c>
      <c r="O355" s="2">
        <v>334.2</v>
      </c>
      <c r="P355" s="2">
        <v>420.5</v>
      </c>
      <c r="Q355">
        <f t="shared" si="20"/>
        <v>3772.1518987341769</v>
      </c>
      <c r="R355">
        <f t="shared" ca="1" si="21"/>
        <v>51</v>
      </c>
      <c r="S355" s="2">
        <f t="shared" si="22"/>
        <v>-2225.3000000000002</v>
      </c>
      <c r="T355" s="18">
        <v>0.1</v>
      </c>
      <c r="U355">
        <f t="shared" si="23"/>
        <v>-2447.8300000000004</v>
      </c>
    </row>
    <row r="356" spans="1:21" x14ac:dyDescent="0.3">
      <c r="A356" t="s">
        <v>754</v>
      </c>
      <c r="B356" s="1">
        <v>44747</v>
      </c>
      <c r="C356" t="s">
        <v>755</v>
      </c>
      <c r="D356" s="3" t="s">
        <v>18</v>
      </c>
      <c r="E356" s="2">
        <v>27431</v>
      </c>
      <c r="F356" s="2">
        <v>21.5</v>
      </c>
      <c r="G356" s="4">
        <v>36</v>
      </c>
      <c r="H356" t="s">
        <v>19</v>
      </c>
      <c r="I356" t="s">
        <v>36</v>
      </c>
      <c r="J356" t="s">
        <v>21</v>
      </c>
      <c r="K356" s="2">
        <v>133466</v>
      </c>
      <c r="L356" t="s">
        <v>22</v>
      </c>
      <c r="M356" s="2">
        <v>0.3</v>
      </c>
      <c r="N356" s="2">
        <v>0.78</v>
      </c>
      <c r="O356" s="2">
        <v>33328.660000000003</v>
      </c>
      <c r="P356" s="2">
        <v>0</v>
      </c>
      <c r="Q356">
        <f t="shared" si="20"/>
        <v>35167.948717948719</v>
      </c>
      <c r="R356">
        <f t="shared" ca="1" si="21"/>
        <v>44</v>
      </c>
      <c r="S356" s="2">
        <f t="shared" si="22"/>
        <v>5897.6600000000035</v>
      </c>
      <c r="T356" s="18">
        <v>0.1</v>
      </c>
      <c r="U356">
        <f t="shared" si="23"/>
        <v>6487.426000000004</v>
      </c>
    </row>
    <row r="357" spans="1:21" x14ac:dyDescent="0.3">
      <c r="A357" t="s">
        <v>756</v>
      </c>
      <c r="B357" s="1">
        <v>44553</v>
      </c>
      <c r="C357" t="s">
        <v>757</v>
      </c>
      <c r="D357" s="3" t="s">
        <v>65</v>
      </c>
      <c r="E357" s="2">
        <v>20440</v>
      </c>
      <c r="F357" s="2">
        <v>9.1999999999999993</v>
      </c>
      <c r="G357" s="4">
        <v>36</v>
      </c>
      <c r="H357" t="s">
        <v>19</v>
      </c>
      <c r="I357" t="s">
        <v>20</v>
      </c>
      <c r="J357" t="s">
        <v>28</v>
      </c>
      <c r="K357" s="2">
        <v>144894</v>
      </c>
      <c r="L357" t="s">
        <v>33</v>
      </c>
      <c r="M357" s="2">
        <v>0.44</v>
      </c>
      <c r="N357" s="2">
        <v>0.55000000000000004</v>
      </c>
      <c r="O357" s="2">
        <v>22320.48</v>
      </c>
      <c r="P357" s="2">
        <v>0</v>
      </c>
      <c r="Q357">
        <f t="shared" si="20"/>
        <v>37163.63636363636</v>
      </c>
      <c r="R357">
        <f t="shared" ca="1" si="21"/>
        <v>50</v>
      </c>
      <c r="S357" s="2">
        <f t="shared" si="22"/>
        <v>1880.4799999999996</v>
      </c>
      <c r="T357" s="18">
        <v>0.1</v>
      </c>
      <c r="U357">
        <f t="shared" si="23"/>
        <v>2068.5279999999998</v>
      </c>
    </row>
    <row r="358" spans="1:21" x14ac:dyDescent="0.3">
      <c r="A358" t="s">
        <v>758</v>
      </c>
      <c r="B358" s="1">
        <v>44219</v>
      </c>
      <c r="C358" t="s">
        <v>759</v>
      </c>
      <c r="D358" s="3" t="s">
        <v>56</v>
      </c>
      <c r="E358" s="2">
        <v>18175</v>
      </c>
      <c r="F358" s="2">
        <v>12.6</v>
      </c>
      <c r="G358" s="4">
        <v>60</v>
      </c>
      <c r="H358" t="s">
        <v>19</v>
      </c>
      <c r="I358" t="s">
        <v>20</v>
      </c>
      <c r="J358" t="s">
        <v>32</v>
      </c>
      <c r="K358" s="2">
        <v>116795</v>
      </c>
      <c r="L358" t="s">
        <v>33</v>
      </c>
      <c r="M358" s="2">
        <v>0.34</v>
      </c>
      <c r="N358" s="2">
        <v>0.94</v>
      </c>
      <c r="O358" s="2">
        <v>20465.05</v>
      </c>
      <c r="P358" s="2">
        <v>0</v>
      </c>
      <c r="Q358">
        <f t="shared" si="20"/>
        <v>19335.106382978724</v>
      </c>
      <c r="R358">
        <f t="shared" ca="1" si="21"/>
        <v>61</v>
      </c>
      <c r="S358" s="2">
        <f t="shared" si="22"/>
        <v>2290.0499999999993</v>
      </c>
      <c r="T358" s="18">
        <v>0.1</v>
      </c>
      <c r="U358">
        <f t="shared" si="23"/>
        <v>2519.0549999999994</v>
      </c>
    </row>
    <row r="359" spans="1:21" x14ac:dyDescent="0.3">
      <c r="A359" t="s">
        <v>760</v>
      </c>
      <c r="B359" s="1">
        <v>44718</v>
      </c>
      <c r="C359" t="s">
        <v>761</v>
      </c>
      <c r="D359" s="3" t="s">
        <v>25</v>
      </c>
      <c r="E359" s="2">
        <v>27385</v>
      </c>
      <c r="F359" s="2">
        <v>24.5</v>
      </c>
      <c r="G359" s="4">
        <v>36</v>
      </c>
      <c r="H359" t="s">
        <v>26</v>
      </c>
      <c r="I359" t="s">
        <v>57</v>
      </c>
      <c r="J359" t="s">
        <v>32</v>
      </c>
      <c r="K359" s="2">
        <v>64087</v>
      </c>
      <c r="L359" t="s">
        <v>22</v>
      </c>
      <c r="M359" s="2">
        <v>0.38</v>
      </c>
      <c r="N359" s="2">
        <v>0.57999999999999996</v>
      </c>
      <c r="O359" s="2">
        <v>6334.16</v>
      </c>
      <c r="P359" s="2">
        <v>0</v>
      </c>
      <c r="Q359">
        <f t="shared" si="20"/>
        <v>47215.517241379312</v>
      </c>
      <c r="R359">
        <f t="shared" ca="1" si="21"/>
        <v>45</v>
      </c>
      <c r="S359" s="2">
        <f t="shared" si="22"/>
        <v>-21050.84</v>
      </c>
      <c r="T359" s="18">
        <v>0.1</v>
      </c>
      <c r="U359">
        <f t="shared" si="23"/>
        <v>-23155.924000000003</v>
      </c>
    </row>
    <row r="360" spans="1:21" x14ac:dyDescent="0.3">
      <c r="A360" t="s">
        <v>762</v>
      </c>
      <c r="B360" s="1">
        <v>44998</v>
      </c>
      <c r="C360" t="s">
        <v>763</v>
      </c>
      <c r="D360" s="3" t="s">
        <v>76</v>
      </c>
      <c r="E360" s="2">
        <v>39158</v>
      </c>
      <c r="F360" s="2">
        <v>11.7</v>
      </c>
      <c r="G360" s="4">
        <v>36</v>
      </c>
      <c r="H360" t="s">
        <v>26</v>
      </c>
      <c r="I360" t="s">
        <v>20</v>
      </c>
      <c r="J360" t="s">
        <v>37</v>
      </c>
      <c r="K360" s="2">
        <v>96677</v>
      </c>
      <c r="L360" t="s">
        <v>29</v>
      </c>
      <c r="M360" s="2">
        <v>0.25</v>
      </c>
      <c r="N360" s="2">
        <v>0.7</v>
      </c>
      <c r="O360" s="2">
        <v>18437.47</v>
      </c>
      <c r="P360" s="2">
        <v>0</v>
      </c>
      <c r="Q360">
        <f t="shared" si="20"/>
        <v>55940</v>
      </c>
      <c r="R360">
        <f t="shared" ca="1" si="21"/>
        <v>36</v>
      </c>
      <c r="S360" s="2">
        <f t="shared" si="22"/>
        <v>-20720.53</v>
      </c>
      <c r="T360" s="18">
        <v>0.1</v>
      </c>
      <c r="U360">
        <f t="shared" si="23"/>
        <v>-22792.583000000002</v>
      </c>
    </row>
    <row r="361" spans="1:21" x14ac:dyDescent="0.3">
      <c r="A361" t="s">
        <v>764</v>
      </c>
      <c r="B361" s="1">
        <v>44958</v>
      </c>
      <c r="C361" t="s">
        <v>765</v>
      </c>
      <c r="D361" s="3" t="s">
        <v>46</v>
      </c>
      <c r="E361" s="2">
        <v>24019</v>
      </c>
      <c r="F361" s="2">
        <v>10.9</v>
      </c>
      <c r="G361" s="4">
        <v>36</v>
      </c>
      <c r="H361" t="s">
        <v>26</v>
      </c>
      <c r="I361" t="s">
        <v>20</v>
      </c>
      <c r="J361" t="s">
        <v>21</v>
      </c>
      <c r="K361" s="2">
        <v>34627</v>
      </c>
      <c r="L361" t="s">
        <v>22</v>
      </c>
      <c r="M361" s="2">
        <v>0.4</v>
      </c>
      <c r="N361" s="2">
        <v>0.72</v>
      </c>
      <c r="O361" s="2">
        <v>1328.11</v>
      </c>
      <c r="P361" s="2">
        <v>0</v>
      </c>
      <c r="Q361">
        <f t="shared" si="20"/>
        <v>33359.722222222226</v>
      </c>
      <c r="R361">
        <f t="shared" ca="1" si="21"/>
        <v>37</v>
      </c>
      <c r="S361" s="2">
        <f t="shared" si="22"/>
        <v>-22690.89</v>
      </c>
      <c r="T361" s="18">
        <v>0.1</v>
      </c>
      <c r="U361">
        <f t="shared" si="23"/>
        <v>-24959.979000000003</v>
      </c>
    </row>
    <row r="362" spans="1:21" x14ac:dyDescent="0.3">
      <c r="A362" t="s">
        <v>766</v>
      </c>
      <c r="B362" s="1">
        <v>44638</v>
      </c>
      <c r="C362" t="s">
        <v>767</v>
      </c>
      <c r="D362" s="3" t="s">
        <v>50</v>
      </c>
      <c r="E362" s="2">
        <v>19639</v>
      </c>
      <c r="F362" s="2">
        <v>23.4</v>
      </c>
      <c r="G362" s="4">
        <v>36</v>
      </c>
      <c r="H362" t="s">
        <v>19</v>
      </c>
      <c r="I362" t="s">
        <v>36</v>
      </c>
      <c r="J362" t="s">
        <v>47</v>
      </c>
      <c r="K362" s="2">
        <v>86541</v>
      </c>
      <c r="L362" t="s">
        <v>33</v>
      </c>
      <c r="M362" s="2">
        <v>0.37</v>
      </c>
      <c r="N362" s="2">
        <v>0.87</v>
      </c>
      <c r="O362" s="2">
        <v>24234.53</v>
      </c>
      <c r="P362" s="2">
        <v>0</v>
      </c>
      <c r="Q362">
        <f t="shared" si="20"/>
        <v>22573.563218390806</v>
      </c>
      <c r="R362">
        <f t="shared" ca="1" si="21"/>
        <v>48</v>
      </c>
      <c r="S362" s="2">
        <f t="shared" si="22"/>
        <v>4595.5299999999988</v>
      </c>
      <c r="T362" s="18">
        <v>0.1</v>
      </c>
      <c r="U362">
        <f t="shared" si="23"/>
        <v>5055.0829999999987</v>
      </c>
    </row>
    <row r="363" spans="1:21" x14ac:dyDescent="0.3">
      <c r="A363" t="s">
        <v>768</v>
      </c>
      <c r="B363" s="1">
        <v>44965</v>
      </c>
      <c r="C363" t="s">
        <v>769</v>
      </c>
      <c r="D363" s="3" t="s">
        <v>46</v>
      </c>
      <c r="E363" s="2">
        <v>20994</v>
      </c>
      <c r="F363" s="2">
        <v>7.2</v>
      </c>
      <c r="G363" s="4">
        <v>36</v>
      </c>
      <c r="H363" t="s">
        <v>19</v>
      </c>
      <c r="I363" t="s">
        <v>57</v>
      </c>
      <c r="J363" t="s">
        <v>28</v>
      </c>
      <c r="K363" s="2">
        <v>142805</v>
      </c>
      <c r="L363" t="s">
        <v>22</v>
      </c>
      <c r="M363" s="2">
        <v>0.15</v>
      </c>
      <c r="N363" s="2">
        <v>0.54</v>
      </c>
      <c r="O363" s="2">
        <v>22505.57</v>
      </c>
      <c r="P363" s="2">
        <v>0</v>
      </c>
      <c r="Q363">
        <f t="shared" si="20"/>
        <v>38877.777777777774</v>
      </c>
      <c r="R363">
        <f t="shared" ca="1" si="21"/>
        <v>37</v>
      </c>
      <c r="S363" s="2">
        <f t="shared" si="22"/>
        <v>1511.5699999999997</v>
      </c>
      <c r="T363" s="18">
        <v>0.1</v>
      </c>
      <c r="U363">
        <f t="shared" si="23"/>
        <v>1662.7269999999999</v>
      </c>
    </row>
    <row r="364" spans="1:21" x14ac:dyDescent="0.3">
      <c r="A364" t="s">
        <v>770</v>
      </c>
      <c r="B364" s="1">
        <v>45212</v>
      </c>
      <c r="C364" t="s">
        <v>771</v>
      </c>
      <c r="D364" s="3" t="s">
        <v>25</v>
      </c>
      <c r="E364" s="2">
        <v>35375</v>
      </c>
      <c r="F364" s="2">
        <v>20.2</v>
      </c>
      <c r="G364" s="4">
        <v>60</v>
      </c>
      <c r="H364" t="s">
        <v>19</v>
      </c>
      <c r="I364" t="s">
        <v>57</v>
      </c>
      <c r="J364" t="s">
        <v>28</v>
      </c>
      <c r="K364" s="2">
        <v>98226</v>
      </c>
      <c r="L364" t="s">
        <v>29</v>
      </c>
      <c r="M364" s="2">
        <v>0.33</v>
      </c>
      <c r="N364" s="2">
        <v>0.69</v>
      </c>
      <c r="O364" s="2">
        <v>42520.75</v>
      </c>
      <c r="P364" s="2">
        <v>0</v>
      </c>
      <c r="Q364">
        <f t="shared" si="20"/>
        <v>51268.115942028991</v>
      </c>
      <c r="R364">
        <f t="shared" ca="1" si="21"/>
        <v>29</v>
      </c>
      <c r="S364" s="2">
        <f t="shared" si="22"/>
        <v>7145.75</v>
      </c>
      <c r="T364" s="18">
        <v>0.1</v>
      </c>
      <c r="U364">
        <f t="shared" si="23"/>
        <v>7860.3250000000007</v>
      </c>
    </row>
    <row r="365" spans="1:21" x14ac:dyDescent="0.3">
      <c r="A365" t="s">
        <v>772</v>
      </c>
      <c r="B365" s="1">
        <v>44712</v>
      </c>
      <c r="C365" t="s">
        <v>773</v>
      </c>
      <c r="D365" s="3" t="s">
        <v>18</v>
      </c>
      <c r="E365" s="2">
        <v>22563</v>
      </c>
      <c r="F365" s="2">
        <v>24.8</v>
      </c>
      <c r="G365" s="4">
        <v>60</v>
      </c>
      <c r="H365" t="s">
        <v>19</v>
      </c>
      <c r="I365" t="s">
        <v>20</v>
      </c>
      <c r="J365" t="s">
        <v>28</v>
      </c>
      <c r="K365" s="2">
        <v>135627</v>
      </c>
      <c r="L365" t="s">
        <v>29</v>
      </c>
      <c r="M365" s="2">
        <v>0.2</v>
      </c>
      <c r="N365" s="2">
        <v>0.78</v>
      </c>
      <c r="O365" s="2">
        <v>28158.62</v>
      </c>
      <c r="P365" s="2">
        <v>0</v>
      </c>
      <c r="Q365">
        <f t="shared" si="20"/>
        <v>28926.923076923074</v>
      </c>
      <c r="R365">
        <f t="shared" ca="1" si="21"/>
        <v>45</v>
      </c>
      <c r="S365" s="2">
        <f t="shared" si="22"/>
        <v>5595.619999999999</v>
      </c>
      <c r="T365" s="18">
        <v>0.1</v>
      </c>
      <c r="U365">
        <f t="shared" si="23"/>
        <v>6155.1819999999998</v>
      </c>
    </row>
    <row r="366" spans="1:21" x14ac:dyDescent="0.3">
      <c r="A366" t="s">
        <v>774</v>
      </c>
      <c r="B366" s="1">
        <v>45236</v>
      </c>
      <c r="C366" t="s">
        <v>775</v>
      </c>
      <c r="D366" s="3" t="s">
        <v>46</v>
      </c>
      <c r="E366" s="2">
        <v>6776</v>
      </c>
      <c r="F366" s="2">
        <v>23</v>
      </c>
      <c r="G366" s="4">
        <v>60</v>
      </c>
      <c r="H366" t="s">
        <v>19</v>
      </c>
      <c r="I366" t="s">
        <v>57</v>
      </c>
      <c r="J366" t="s">
        <v>28</v>
      </c>
      <c r="K366" s="2">
        <v>33255</v>
      </c>
      <c r="L366" t="s">
        <v>33</v>
      </c>
      <c r="M366" s="2">
        <v>0.42</v>
      </c>
      <c r="N366" s="2">
        <v>0.6</v>
      </c>
      <c r="O366" s="2">
        <v>8334.48</v>
      </c>
      <c r="P366" s="2">
        <v>0</v>
      </c>
      <c r="Q366">
        <f t="shared" si="20"/>
        <v>11293.333333333334</v>
      </c>
      <c r="R366">
        <f t="shared" ca="1" si="21"/>
        <v>28</v>
      </c>
      <c r="S366" s="2">
        <f t="shared" si="22"/>
        <v>1558.4799999999996</v>
      </c>
      <c r="T366" s="18">
        <v>0.1</v>
      </c>
      <c r="U366">
        <f t="shared" si="23"/>
        <v>1714.3279999999997</v>
      </c>
    </row>
    <row r="367" spans="1:21" x14ac:dyDescent="0.3">
      <c r="A367" t="s">
        <v>776</v>
      </c>
      <c r="B367" s="1">
        <v>44988</v>
      </c>
      <c r="C367" t="s">
        <v>777</v>
      </c>
      <c r="D367" s="3" t="s">
        <v>53</v>
      </c>
      <c r="E367" s="2">
        <v>37444</v>
      </c>
      <c r="F367" s="2">
        <v>18</v>
      </c>
      <c r="G367" s="4">
        <v>60</v>
      </c>
      <c r="H367" t="s">
        <v>26</v>
      </c>
      <c r="I367" t="s">
        <v>84</v>
      </c>
      <c r="J367" t="s">
        <v>47</v>
      </c>
      <c r="K367" s="2">
        <v>87433</v>
      </c>
      <c r="L367" t="s">
        <v>22</v>
      </c>
      <c r="M367" s="2">
        <v>0.27</v>
      </c>
      <c r="N367" s="2">
        <v>0.78</v>
      </c>
      <c r="O367" s="2">
        <v>11777.96</v>
      </c>
      <c r="P367" s="2">
        <v>0</v>
      </c>
      <c r="Q367">
        <f t="shared" si="20"/>
        <v>48005.128205128203</v>
      </c>
      <c r="R367">
        <f t="shared" ca="1" si="21"/>
        <v>36</v>
      </c>
      <c r="S367" s="2">
        <f t="shared" si="22"/>
        <v>-25666.04</v>
      </c>
      <c r="T367" s="18">
        <v>0.1</v>
      </c>
      <c r="U367">
        <f t="shared" si="23"/>
        <v>-28232.644000000004</v>
      </c>
    </row>
    <row r="368" spans="1:21" x14ac:dyDescent="0.3">
      <c r="A368" t="s">
        <v>778</v>
      </c>
      <c r="B368" s="1">
        <v>44532</v>
      </c>
      <c r="C368" t="s">
        <v>779</v>
      </c>
      <c r="D368" s="3" t="s">
        <v>46</v>
      </c>
      <c r="E368" s="2">
        <v>4380</v>
      </c>
      <c r="F368" s="2">
        <v>11.3</v>
      </c>
      <c r="G368" s="4">
        <v>36</v>
      </c>
      <c r="H368" t="s">
        <v>19</v>
      </c>
      <c r="I368" t="s">
        <v>73</v>
      </c>
      <c r="J368" t="s">
        <v>47</v>
      </c>
      <c r="K368" s="2">
        <v>35213</v>
      </c>
      <c r="L368" t="s">
        <v>29</v>
      </c>
      <c r="M368" s="2">
        <v>0.5</v>
      </c>
      <c r="N368" s="2">
        <v>0.92</v>
      </c>
      <c r="O368" s="2">
        <v>4874.9399999999996</v>
      </c>
      <c r="P368" s="2">
        <v>0</v>
      </c>
      <c r="Q368">
        <f t="shared" si="20"/>
        <v>4760.869565217391</v>
      </c>
      <c r="R368">
        <f t="shared" ca="1" si="21"/>
        <v>51</v>
      </c>
      <c r="S368" s="2">
        <f t="shared" si="22"/>
        <v>494.9399999999996</v>
      </c>
      <c r="T368" s="18">
        <v>0.1</v>
      </c>
      <c r="U368">
        <f t="shared" si="23"/>
        <v>544.43399999999963</v>
      </c>
    </row>
    <row r="369" spans="1:21" x14ac:dyDescent="0.3">
      <c r="A369" t="s">
        <v>780</v>
      </c>
      <c r="B369" s="1">
        <v>44454</v>
      </c>
      <c r="C369" t="s">
        <v>781</v>
      </c>
      <c r="D369" s="3" t="s">
        <v>65</v>
      </c>
      <c r="E369" s="2">
        <v>9711</v>
      </c>
      <c r="F369" s="2">
        <v>10.1</v>
      </c>
      <c r="G369" s="4">
        <v>36</v>
      </c>
      <c r="H369" t="s">
        <v>26</v>
      </c>
      <c r="I369" t="s">
        <v>27</v>
      </c>
      <c r="J369" t="s">
        <v>37</v>
      </c>
      <c r="K369" s="2">
        <v>132412</v>
      </c>
      <c r="L369" t="s">
        <v>22</v>
      </c>
      <c r="M369" s="2">
        <v>0.14000000000000001</v>
      </c>
      <c r="N369" s="2">
        <v>0.95</v>
      </c>
      <c r="O369" s="2">
        <v>2676.63</v>
      </c>
      <c r="P369" s="2">
        <v>0</v>
      </c>
      <c r="Q369">
        <f t="shared" si="20"/>
        <v>10222.105263157895</v>
      </c>
      <c r="R369">
        <f t="shared" ca="1" si="21"/>
        <v>54</v>
      </c>
      <c r="S369" s="2">
        <f t="shared" si="22"/>
        <v>-7034.37</v>
      </c>
      <c r="T369" s="18">
        <v>0.1</v>
      </c>
      <c r="U369">
        <f t="shared" si="23"/>
        <v>-7737.8070000000007</v>
      </c>
    </row>
    <row r="370" spans="1:21" x14ac:dyDescent="0.3">
      <c r="A370" t="s">
        <v>782</v>
      </c>
      <c r="B370" s="1">
        <v>44693</v>
      </c>
      <c r="C370" t="s">
        <v>783</v>
      </c>
      <c r="D370" s="3" t="s">
        <v>53</v>
      </c>
      <c r="E370" s="2">
        <v>9782</v>
      </c>
      <c r="F370" s="2">
        <v>21.4</v>
      </c>
      <c r="G370" s="4">
        <v>36</v>
      </c>
      <c r="H370" t="s">
        <v>19</v>
      </c>
      <c r="I370" t="s">
        <v>57</v>
      </c>
      <c r="J370" t="s">
        <v>21</v>
      </c>
      <c r="K370" s="2">
        <v>49404</v>
      </c>
      <c r="L370" t="s">
        <v>29</v>
      </c>
      <c r="M370" s="2">
        <v>0.41</v>
      </c>
      <c r="N370" s="2">
        <v>0.51</v>
      </c>
      <c r="O370" s="2">
        <v>11875.35</v>
      </c>
      <c r="P370" s="2">
        <v>0</v>
      </c>
      <c r="Q370">
        <f t="shared" si="20"/>
        <v>19180.392156862745</v>
      </c>
      <c r="R370">
        <f t="shared" ca="1" si="21"/>
        <v>46</v>
      </c>
      <c r="S370" s="2">
        <f t="shared" si="22"/>
        <v>2093.3500000000004</v>
      </c>
      <c r="T370" s="18">
        <v>0.1</v>
      </c>
      <c r="U370">
        <f t="shared" si="23"/>
        <v>2302.6850000000004</v>
      </c>
    </row>
    <row r="371" spans="1:21" x14ac:dyDescent="0.3">
      <c r="A371" t="s">
        <v>784</v>
      </c>
      <c r="B371" s="1">
        <v>45092</v>
      </c>
      <c r="C371" t="s">
        <v>785</v>
      </c>
      <c r="D371" s="3" t="s">
        <v>72</v>
      </c>
      <c r="E371" s="2">
        <v>18434</v>
      </c>
      <c r="F371" s="2">
        <v>22.6</v>
      </c>
      <c r="G371" s="4">
        <v>36</v>
      </c>
      <c r="H371" t="s">
        <v>19</v>
      </c>
      <c r="I371" t="s">
        <v>57</v>
      </c>
      <c r="J371" t="s">
        <v>47</v>
      </c>
      <c r="K371" s="2">
        <v>146545</v>
      </c>
      <c r="L371" t="s">
        <v>33</v>
      </c>
      <c r="M371" s="2">
        <v>0.37</v>
      </c>
      <c r="N371" s="2">
        <v>0.61</v>
      </c>
      <c r="O371" s="2">
        <v>22600.080000000002</v>
      </c>
      <c r="P371" s="2">
        <v>0</v>
      </c>
      <c r="Q371">
        <f t="shared" si="20"/>
        <v>30219.672131147541</v>
      </c>
      <c r="R371">
        <f t="shared" ca="1" si="21"/>
        <v>33</v>
      </c>
      <c r="S371" s="2">
        <f t="shared" si="22"/>
        <v>4166.0800000000017</v>
      </c>
      <c r="T371" s="18">
        <v>0.1</v>
      </c>
      <c r="U371">
        <f t="shared" si="23"/>
        <v>4582.6880000000019</v>
      </c>
    </row>
    <row r="372" spans="1:21" x14ac:dyDescent="0.3">
      <c r="A372" t="s">
        <v>786</v>
      </c>
      <c r="B372" s="1">
        <v>44356</v>
      </c>
      <c r="C372" t="s">
        <v>787</v>
      </c>
      <c r="D372" s="3" t="s">
        <v>46</v>
      </c>
      <c r="E372" s="2">
        <v>21017</v>
      </c>
      <c r="F372" s="2">
        <v>15.5</v>
      </c>
      <c r="G372" s="4">
        <v>36</v>
      </c>
      <c r="H372" t="s">
        <v>19</v>
      </c>
      <c r="I372" t="s">
        <v>73</v>
      </c>
      <c r="J372" t="s">
        <v>37</v>
      </c>
      <c r="K372" s="2">
        <v>55380</v>
      </c>
      <c r="L372" t="s">
        <v>33</v>
      </c>
      <c r="M372" s="2">
        <v>0.41</v>
      </c>
      <c r="N372" s="2">
        <v>0.64</v>
      </c>
      <c r="O372" s="2">
        <v>24274.639999999999</v>
      </c>
      <c r="P372" s="2">
        <v>0</v>
      </c>
      <c r="Q372">
        <f t="shared" si="20"/>
        <v>32839.0625</v>
      </c>
      <c r="R372">
        <f t="shared" ca="1" si="21"/>
        <v>57</v>
      </c>
      <c r="S372" s="2">
        <f t="shared" si="22"/>
        <v>3257.6399999999994</v>
      </c>
      <c r="T372" s="18">
        <v>0.1</v>
      </c>
      <c r="U372">
        <f t="shared" si="23"/>
        <v>3583.4039999999995</v>
      </c>
    </row>
    <row r="373" spans="1:21" x14ac:dyDescent="0.3">
      <c r="A373" t="s">
        <v>788</v>
      </c>
      <c r="B373" s="1">
        <v>45048</v>
      </c>
      <c r="C373" t="s">
        <v>789</v>
      </c>
      <c r="D373" s="3" t="s">
        <v>53</v>
      </c>
      <c r="E373" s="2">
        <v>31707</v>
      </c>
      <c r="F373" s="2">
        <v>9.9</v>
      </c>
      <c r="G373" s="4">
        <v>60</v>
      </c>
      <c r="H373" t="s">
        <v>81</v>
      </c>
      <c r="I373" t="s">
        <v>57</v>
      </c>
      <c r="J373" t="s">
        <v>32</v>
      </c>
      <c r="K373" s="2">
        <v>121056</v>
      </c>
      <c r="L373" t="s">
        <v>22</v>
      </c>
      <c r="M373" s="2">
        <v>0.22</v>
      </c>
      <c r="N373" s="2">
        <v>0.68</v>
      </c>
      <c r="O373" s="2">
        <v>11478.42</v>
      </c>
      <c r="P373" s="2">
        <v>11714.89</v>
      </c>
      <c r="Q373">
        <f t="shared" si="20"/>
        <v>46627.941176470587</v>
      </c>
      <c r="R373">
        <f t="shared" ca="1" si="21"/>
        <v>34</v>
      </c>
      <c r="S373" s="2">
        <f t="shared" si="22"/>
        <v>-8513.6900000000023</v>
      </c>
      <c r="T373" s="18">
        <v>0.1</v>
      </c>
      <c r="U373">
        <f t="shared" si="23"/>
        <v>-9365.0590000000029</v>
      </c>
    </row>
    <row r="374" spans="1:21" x14ac:dyDescent="0.3">
      <c r="A374" t="s">
        <v>790</v>
      </c>
      <c r="B374" s="1">
        <v>44886</v>
      </c>
      <c r="C374" t="s">
        <v>791</v>
      </c>
      <c r="D374" s="3" t="s">
        <v>25</v>
      </c>
      <c r="E374" s="2">
        <v>18343</v>
      </c>
      <c r="F374" s="2">
        <v>7.3</v>
      </c>
      <c r="G374" s="4">
        <v>60</v>
      </c>
      <c r="H374" t="s">
        <v>19</v>
      </c>
      <c r="I374" t="s">
        <v>84</v>
      </c>
      <c r="J374" t="s">
        <v>21</v>
      </c>
      <c r="K374" s="2">
        <v>49173</v>
      </c>
      <c r="L374" t="s">
        <v>33</v>
      </c>
      <c r="M374" s="2">
        <v>0.3</v>
      </c>
      <c r="N374" s="2">
        <v>0.61</v>
      </c>
      <c r="O374" s="2">
        <v>19682.04</v>
      </c>
      <c r="P374" s="2">
        <v>0</v>
      </c>
      <c r="Q374">
        <f t="shared" si="20"/>
        <v>30070.491803278688</v>
      </c>
      <c r="R374">
        <f t="shared" ca="1" si="21"/>
        <v>39</v>
      </c>
      <c r="S374" s="2">
        <f t="shared" si="22"/>
        <v>1339.0400000000009</v>
      </c>
      <c r="T374" s="18">
        <v>0.1</v>
      </c>
      <c r="U374">
        <f t="shared" si="23"/>
        <v>1472.9440000000011</v>
      </c>
    </row>
    <row r="375" spans="1:21" x14ac:dyDescent="0.3">
      <c r="A375" t="s">
        <v>792</v>
      </c>
      <c r="B375" s="1">
        <v>44576</v>
      </c>
      <c r="C375" t="s">
        <v>793</v>
      </c>
      <c r="D375" s="3" t="s">
        <v>50</v>
      </c>
      <c r="E375" s="2">
        <v>39827</v>
      </c>
      <c r="F375" s="2">
        <v>6.7</v>
      </c>
      <c r="G375" s="4">
        <v>36</v>
      </c>
      <c r="H375" t="s">
        <v>26</v>
      </c>
      <c r="I375" t="s">
        <v>57</v>
      </c>
      <c r="J375" t="s">
        <v>47</v>
      </c>
      <c r="K375" s="2">
        <v>83027</v>
      </c>
      <c r="L375" t="s">
        <v>29</v>
      </c>
      <c r="M375" s="2">
        <v>0.42</v>
      </c>
      <c r="N375" s="2">
        <v>0.59</v>
      </c>
      <c r="O375" s="2">
        <v>3496.84</v>
      </c>
      <c r="P375" s="2">
        <v>0</v>
      </c>
      <c r="Q375">
        <f t="shared" si="20"/>
        <v>67503.389830508473</v>
      </c>
      <c r="R375">
        <f t="shared" ca="1" si="21"/>
        <v>50</v>
      </c>
      <c r="S375" s="2">
        <f t="shared" si="22"/>
        <v>-36330.160000000003</v>
      </c>
      <c r="T375" s="18">
        <v>0.1</v>
      </c>
      <c r="U375">
        <f t="shared" si="23"/>
        <v>-39963.176000000007</v>
      </c>
    </row>
    <row r="376" spans="1:21" x14ac:dyDescent="0.3">
      <c r="A376" t="s">
        <v>794</v>
      </c>
      <c r="B376" s="1">
        <v>45153</v>
      </c>
      <c r="C376" t="s">
        <v>795</v>
      </c>
      <c r="D376" s="3" t="s">
        <v>72</v>
      </c>
      <c r="E376" s="2">
        <v>6655</v>
      </c>
      <c r="F376" s="2">
        <v>19.399999999999999</v>
      </c>
      <c r="G376" s="4">
        <v>36</v>
      </c>
      <c r="H376" t="s">
        <v>19</v>
      </c>
      <c r="I376" t="s">
        <v>27</v>
      </c>
      <c r="J376" t="s">
        <v>32</v>
      </c>
      <c r="K376" s="2">
        <v>53989</v>
      </c>
      <c r="L376" t="s">
        <v>33</v>
      </c>
      <c r="M376" s="2">
        <v>0.19</v>
      </c>
      <c r="N376" s="2">
        <v>0.93</v>
      </c>
      <c r="O376" s="2">
        <v>7946.07</v>
      </c>
      <c r="P376" s="2">
        <v>0</v>
      </c>
      <c r="Q376">
        <f t="shared" si="20"/>
        <v>7155.9139784946237</v>
      </c>
      <c r="R376">
        <f t="shared" ca="1" si="21"/>
        <v>31</v>
      </c>
      <c r="S376" s="2">
        <f t="shared" si="22"/>
        <v>1291.0699999999997</v>
      </c>
      <c r="T376" s="18">
        <v>0.1</v>
      </c>
      <c r="U376">
        <f t="shared" si="23"/>
        <v>1420.1769999999999</v>
      </c>
    </row>
    <row r="377" spans="1:21" x14ac:dyDescent="0.3">
      <c r="A377" t="s">
        <v>796</v>
      </c>
      <c r="B377" s="1">
        <v>44887</v>
      </c>
      <c r="C377" t="s">
        <v>797</v>
      </c>
      <c r="D377" s="3" t="s">
        <v>76</v>
      </c>
      <c r="E377" s="2">
        <v>16251</v>
      </c>
      <c r="F377" s="2">
        <v>13.4</v>
      </c>
      <c r="G377" s="4">
        <v>36</v>
      </c>
      <c r="H377" t="s">
        <v>81</v>
      </c>
      <c r="I377" t="s">
        <v>20</v>
      </c>
      <c r="J377" t="s">
        <v>37</v>
      </c>
      <c r="K377" s="2">
        <v>138106</v>
      </c>
      <c r="L377" t="s">
        <v>29</v>
      </c>
      <c r="M377" s="2">
        <v>0.19</v>
      </c>
      <c r="N377" s="2">
        <v>0.91</v>
      </c>
      <c r="O377" s="2">
        <v>4947.74</v>
      </c>
      <c r="P377" s="2">
        <v>1644.69</v>
      </c>
      <c r="Q377">
        <f t="shared" si="20"/>
        <v>17858.241758241758</v>
      </c>
      <c r="R377">
        <f t="shared" ca="1" si="21"/>
        <v>39</v>
      </c>
      <c r="S377" s="2">
        <f t="shared" si="22"/>
        <v>-9658.57</v>
      </c>
      <c r="T377" s="18">
        <v>0.1</v>
      </c>
      <c r="U377">
        <f t="shared" si="23"/>
        <v>-10624.427</v>
      </c>
    </row>
    <row r="378" spans="1:21" x14ac:dyDescent="0.3">
      <c r="A378" t="s">
        <v>798</v>
      </c>
      <c r="B378" s="1">
        <v>45263</v>
      </c>
      <c r="C378" t="s">
        <v>799</v>
      </c>
      <c r="D378" s="3" t="s">
        <v>76</v>
      </c>
      <c r="E378" s="2">
        <v>1526</v>
      </c>
      <c r="F378" s="2">
        <v>23.1</v>
      </c>
      <c r="G378" s="4">
        <v>60</v>
      </c>
      <c r="H378" t="s">
        <v>26</v>
      </c>
      <c r="I378" t="s">
        <v>27</v>
      </c>
      <c r="J378" t="s">
        <v>47</v>
      </c>
      <c r="K378" s="2">
        <v>54519</v>
      </c>
      <c r="L378" t="s">
        <v>29</v>
      </c>
      <c r="M378" s="2">
        <v>0.32</v>
      </c>
      <c r="N378" s="2">
        <v>0.52</v>
      </c>
      <c r="O378" s="2">
        <v>543.33000000000004</v>
      </c>
      <c r="P378" s="2">
        <v>0</v>
      </c>
      <c r="Q378">
        <f t="shared" si="20"/>
        <v>2934.6153846153843</v>
      </c>
      <c r="R378">
        <f t="shared" ca="1" si="21"/>
        <v>27</v>
      </c>
      <c r="S378" s="2">
        <f t="shared" si="22"/>
        <v>-982.67</v>
      </c>
      <c r="T378" s="18">
        <v>0.1</v>
      </c>
      <c r="U378">
        <f t="shared" si="23"/>
        <v>-1080.9370000000001</v>
      </c>
    </row>
    <row r="379" spans="1:21" x14ac:dyDescent="0.3">
      <c r="A379" t="s">
        <v>800</v>
      </c>
      <c r="B379" s="1">
        <v>44481</v>
      </c>
      <c r="C379" t="s">
        <v>801</v>
      </c>
      <c r="D379" s="3" t="s">
        <v>56</v>
      </c>
      <c r="E379" s="2">
        <v>4224</v>
      </c>
      <c r="F379" s="2">
        <v>19.8</v>
      </c>
      <c r="G379" s="4">
        <v>36</v>
      </c>
      <c r="H379" t="s">
        <v>19</v>
      </c>
      <c r="I379" t="s">
        <v>36</v>
      </c>
      <c r="J379" t="s">
        <v>47</v>
      </c>
      <c r="K379" s="2">
        <v>52439</v>
      </c>
      <c r="L379" t="s">
        <v>33</v>
      </c>
      <c r="M379" s="2">
        <v>0.31</v>
      </c>
      <c r="N379" s="2">
        <v>0.65</v>
      </c>
      <c r="O379" s="2">
        <v>5060.3500000000004</v>
      </c>
      <c r="P379" s="2">
        <v>0</v>
      </c>
      <c r="Q379">
        <f t="shared" si="20"/>
        <v>6498.4615384615381</v>
      </c>
      <c r="R379">
        <f t="shared" ca="1" si="21"/>
        <v>53</v>
      </c>
      <c r="S379" s="2">
        <f t="shared" si="22"/>
        <v>836.35000000000036</v>
      </c>
      <c r="T379" s="18">
        <v>0.1</v>
      </c>
      <c r="U379">
        <f t="shared" si="23"/>
        <v>919.98500000000047</v>
      </c>
    </row>
    <row r="380" spans="1:21" x14ac:dyDescent="0.3">
      <c r="A380" t="s">
        <v>802</v>
      </c>
      <c r="B380" s="1">
        <v>44593</v>
      </c>
      <c r="C380" t="s">
        <v>803</v>
      </c>
      <c r="D380" s="3" t="s">
        <v>46</v>
      </c>
      <c r="E380" s="2">
        <v>12536</v>
      </c>
      <c r="F380" s="2">
        <v>8.8000000000000007</v>
      </c>
      <c r="G380" s="4">
        <v>36</v>
      </c>
      <c r="H380" t="s">
        <v>26</v>
      </c>
      <c r="I380" t="s">
        <v>73</v>
      </c>
      <c r="J380" t="s">
        <v>32</v>
      </c>
      <c r="K380" s="2">
        <v>148570</v>
      </c>
      <c r="L380" t="s">
        <v>29</v>
      </c>
      <c r="M380" s="2">
        <v>0.21</v>
      </c>
      <c r="N380" s="2">
        <v>0.68</v>
      </c>
      <c r="O380" s="2">
        <v>4401.21</v>
      </c>
      <c r="P380" s="2">
        <v>0</v>
      </c>
      <c r="Q380">
        <f t="shared" si="20"/>
        <v>18435.294117647056</v>
      </c>
      <c r="R380">
        <f t="shared" ca="1" si="21"/>
        <v>49</v>
      </c>
      <c r="S380" s="2">
        <f t="shared" si="22"/>
        <v>-8134.79</v>
      </c>
      <c r="T380" s="18">
        <v>0.1</v>
      </c>
      <c r="U380">
        <f t="shared" si="23"/>
        <v>-8948.2690000000002</v>
      </c>
    </row>
    <row r="381" spans="1:21" x14ac:dyDescent="0.3">
      <c r="A381" t="s">
        <v>804</v>
      </c>
      <c r="B381" s="1">
        <v>44208</v>
      </c>
      <c r="C381" t="s">
        <v>805</v>
      </c>
      <c r="D381" s="3" t="s">
        <v>50</v>
      </c>
      <c r="E381" s="2">
        <v>29541</v>
      </c>
      <c r="F381" s="2">
        <v>17.3</v>
      </c>
      <c r="G381" s="4">
        <v>36</v>
      </c>
      <c r="H381" t="s">
        <v>19</v>
      </c>
      <c r="I381" t="s">
        <v>73</v>
      </c>
      <c r="J381" t="s">
        <v>47</v>
      </c>
      <c r="K381" s="2">
        <v>106949</v>
      </c>
      <c r="L381" t="s">
        <v>29</v>
      </c>
      <c r="M381" s="2">
        <v>0.22</v>
      </c>
      <c r="N381" s="2">
        <v>0.61</v>
      </c>
      <c r="O381" s="2">
        <v>34651.589999999997</v>
      </c>
      <c r="P381" s="2">
        <v>0</v>
      </c>
      <c r="Q381">
        <f t="shared" si="20"/>
        <v>48427.868852459018</v>
      </c>
      <c r="R381">
        <f t="shared" ca="1" si="21"/>
        <v>62</v>
      </c>
      <c r="S381" s="2">
        <f t="shared" si="22"/>
        <v>5110.5899999999965</v>
      </c>
      <c r="T381" s="18">
        <v>0.1</v>
      </c>
      <c r="U381">
        <f t="shared" si="23"/>
        <v>5621.6489999999967</v>
      </c>
    </row>
    <row r="382" spans="1:21" x14ac:dyDescent="0.3">
      <c r="A382" t="s">
        <v>806</v>
      </c>
      <c r="B382" s="1">
        <v>44695</v>
      </c>
      <c r="C382" t="s">
        <v>807</v>
      </c>
      <c r="D382" s="3" t="s">
        <v>40</v>
      </c>
      <c r="E382" s="2">
        <v>14547</v>
      </c>
      <c r="F382" s="2">
        <v>13.7</v>
      </c>
      <c r="G382" s="4">
        <v>60</v>
      </c>
      <c r="H382" t="s">
        <v>81</v>
      </c>
      <c r="I382" t="s">
        <v>41</v>
      </c>
      <c r="J382" t="s">
        <v>28</v>
      </c>
      <c r="K382" s="2">
        <v>44995</v>
      </c>
      <c r="L382" t="s">
        <v>22</v>
      </c>
      <c r="M382" s="2">
        <v>0.21</v>
      </c>
      <c r="N382" s="2">
        <v>0.78</v>
      </c>
      <c r="O382" s="2">
        <v>5567.14</v>
      </c>
      <c r="P382" s="2">
        <v>1935.32</v>
      </c>
      <c r="Q382">
        <f t="shared" si="20"/>
        <v>18650</v>
      </c>
      <c r="R382">
        <f t="shared" ca="1" si="21"/>
        <v>46</v>
      </c>
      <c r="S382" s="2">
        <f t="shared" si="22"/>
        <v>-7044.54</v>
      </c>
      <c r="T382" s="18">
        <v>0.1</v>
      </c>
      <c r="U382">
        <f t="shared" si="23"/>
        <v>-7748.9940000000006</v>
      </c>
    </row>
    <row r="383" spans="1:21" x14ac:dyDescent="0.3">
      <c r="A383" t="s">
        <v>808</v>
      </c>
      <c r="B383" s="1">
        <v>44950</v>
      </c>
      <c r="C383" t="s">
        <v>809</v>
      </c>
      <c r="D383" s="3" t="s">
        <v>53</v>
      </c>
      <c r="E383" s="2">
        <v>35531</v>
      </c>
      <c r="F383" s="2">
        <v>16.5</v>
      </c>
      <c r="G383" s="4">
        <v>36</v>
      </c>
      <c r="H383" t="s">
        <v>19</v>
      </c>
      <c r="I383" t="s">
        <v>73</v>
      </c>
      <c r="J383" t="s">
        <v>47</v>
      </c>
      <c r="K383" s="2">
        <v>53559</v>
      </c>
      <c r="L383" t="s">
        <v>22</v>
      </c>
      <c r="M383" s="2">
        <v>0.41</v>
      </c>
      <c r="N383" s="2">
        <v>0.79</v>
      </c>
      <c r="O383" s="2">
        <v>41393.620000000003</v>
      </c>
      <c r="P383" s="2">
        <v>0</v>
      </c>
      <c r="Q383">
        <f t="shared" si="20"/>
        <v>44975.949367088608</v>
      </c>
      <c r="R383">
        <f t="shared" ca="1" si="21"/>
        <v>37</v>
      </c>
      <c r="S383" s="2">
        <f t="shared" si="22"/>
        <v>5862.6200000000026</v>
      </c>
      <c r="T383" s="18">
        <v>0.1</v>
      </c>
      <c r="U383">
        <f t="shared" si="23"/>
        <v>6448.8820000000032</v>
      </c>
    </row>
    <row r="384" spans="1:21" x14ac:dyDescent="0.3">
      <c r="A384" t="s">
        <v>810</v>
      </c>
      <c r="B384" s="1">
        <v>44231</v>
      </c>
      <c r="C384" t="s">
        <v>811</v>
      </c>
      <c r="D384" s="3" t="s">
        <v>72</v>
      </c>
      <c r="E384" s="2">
        <v>9712</v>
      </c>
      <c r="F384" s="2">
        <v>19.8</v>
      </c>
      <c r="G384" s="4">
        <v>60</v>
      </c>
      <c r="H384" t="s">
        <v>19</v>
      </c>
      <c r="I384" t="s">
        <v>57</v>
      </c>
      <c r="J384" t="s">
        <v>21</v>
      </c>
      <c r="K384" s="2">
        <v>140887</v>
      </c>
      <c r="L384" t="s">
        <v>22</v>
      </c>
      <c r="M384" s="2">
        <v>0.36</v>
      </c>
      <c r="N384" s="2">
        <v>0.88</v>
      </c>
      <c r="O384" s="2">
        <v>11634.98</v>
      </c>
      <c r="P384" s="2">
        <v>0</v>
      </c>
      <c r="Q384">
        <f t="shared" si="20"/>
        <v>11036.363636363636</v>
      </c>
      <c r="R384">
        <f t="shared" ca="1" si="21"/>
        <v>61</v>
      </c>
      <c r="S384" s="2">
        <f t="shared" si="22"/>
        <v>1922.9799999999996</v>
      </c>
      <c r="T384" s="18">
        <v>0.1</v>
      </c>
      <c r="U384">
        <f t="shared" si="23"/>
        <v>2115.2779999999998</v>
      </c>
    </row>
    <row r="385" spans="1:21" x14ac:dyDescent="0.3">
      <c r="A385" t="s">
        <v>812</v>
      </c>
      <c r="B385" s="1">
        <v>44923</v>
      </c>
      <c r="C385" t="s">
        <v>813</v>
      </c>
      <c r="D385" s="3" t="s">
        <v>25</v>
      </c>
      <c r="E385" s="2">
        <v>39565</v>
      </c>
      <c r="F385" s="2">
        <v>21.1</v>
      </c>
      <c r="G385" s="4">
        <v>60</v>
      </c>
      <c r="H385" t="s">
        <v>26</v>
      </c>
      <c r="I385" t="s">
        <v>57</v>
      </c>
      <c r="J385" t="s">
        <v>32</v>
      </c>
      <c r="K385" s="2">
        <v>119049</v>
      </c>
      <c r="L385" t="s">
        <v>33</v>
      </c>
      <c r="M385" s="2">
        <v>0.43</v>
      </c>
      <c r="N385" s="2">
        <v>0.83</v>
      </c>
      <c r="O385" s="2">
        <v>16632.71</v>
      </c>
      <c r="P385" s="2">
        <v>0</v>
      </c>
      <c r="Q385">
        <f t="shared" si="20"/>
        <v>47668.674698795185</v>
      </c>
      <c r="R385">
        <f t="shared" ca="1" si="21"/>
        <v>38</v>
      </c>
      <c r="S385" s="2">
        <f t="shared" si="22"/>
        <v>-22932.29</v>
      </c>
      <c r="T385" s="18">
        <v>0.1</v>
      </c>
      <c r="U385">
        <f t="shared" si="23"/>
        <v>-25225.519000000004</v>
      </c>
    </row>
    <row r="386" spans="1:21" x14ac:dyDescent="0.3">
      <c r="A386" t="s">
        <v>814</v>
      </c>
      <c r="B386" s="1">
        <v>45045</v>
      </c>
      <c r="C386" t="s">
        <v>815</v>
      </c>
      <c r="D386" s="3" t="s">
        <v>46</v>
      </c>
      <c r="E386" s="2">
        <v>10208</v>
      </c>
      <c r="F386" s="2">
        <v>21.9</v>
      </c>
      <c r="G386" s="4">
        <v>60</v>
      </c>
      <c r="H386" t="s">
        <v>26</v>
      </c>
      <c r="I386" t="s">
        <v>27</v>
      </c>
      <c r="J386" t="s">
        <v>21</v>
      </c>
      <c r="K386" s="2">
        <v>35021</v>
      </c>
      <c r="L386" t="s">
        <v>22</v>
      </c>
      <c r="M386" s="2">
        <v>0.49</v>
      </c>
      <c r="N386" s="2">
        <v>0.74</v>
      </c>
      <c r="O386" s="2">
        <v>703.21</v>
      </c>
      <c r="P386" s="2">
        <v>0</v>
      </c>
      <c r="Q386">
        <f t="shared" si="20"/>
        <v>13794.594594594595</v>
      </c>
      <c r="R386">
        <f t="shared" ca="1" si="21"/>
        <v>34</v>
      </c>
      <c r="S386" s="2">
        <f t="shared" si="22"/>
        <v>-9504.7900000000009</v>
      </c>
      <c r="T386" s="18">
        <v>0.1</v>
      </c>
      <c r="U386">
        <f t="shared" si="23"/>
        <v>-10455.269000000002</v>
      </c>
    </row>
    <row r="387" spans="1:21" x14ac:dyDescent="0.3">
      <c r="A387" t="s">
        <v>816</v>
      </c>
      <c r="B387" s="1">
        <v>44286</v>
      </c>
      <c r="C387" t="s">
        <v>817</v>
      </c>
      <c r="D387" s="3" t="s">
        <v>25</v>
      </c>
      <c r="E387" s="2">
        <v>6109</v>
      </c>
      <c r="F387" s="2">
        <v>10.1</v>
      </c>
      <c r="G387" s="4">
        <v>60</v>
      </c>
      <c r="H387" t="s">
        <v>19</v>
      </c>
      <c r="I387" t="s">
        <v>27</v>
      </c>
      <c r="J387" t="s">
        <v>37</v>
      </c>
      <c r="K387" s="2">
        <v>128000</v>
      </c>
      <c r="L387" t="s">
        <v>29</v>
      </c>
      <c r="M387" s="2">
        <v>0.28999999999999998</v>
      </c>
      <c r="N387" s="2">
        <v>0.79</v>
      </c>
      <c r="O387" s="2">
        <v>6726.01</v>
      </c>
      <c r="P387" s="2">
        <v>0</v>
      </c>
      <c r="Q387">
        <f t="shared" ref="Q387:Q450" si="24">E387/N387</f>
        <v>7732.9113924050625</v>
      </c>
      <c r="R387">
        <f t="shared" ref="R387:R450" ca="1" si="25">DATEDIF(B387, TODAY(), "M")</f>
        <v>59</v>
      </c>
      <c r="S387" s="2">
        <f t="shared" ref="S387:S450" si="26">(O387+P387)-E387</f>
        <v>617.01000000000022</v>
      </c>
      <c r="T387" s="18">
        <v>0.1</v>
      </c>
      <c r="U387">
        <f t="shared" ref="U387:U450" si="27">S387*(1+T387)</f>
        <v>678.71100000000024</v>
      </c>
    </row>
    <row r="388" spans="1:21" x14ac:dyDescent="0.3">
      <c r="A388" t="s">
        <v>818</v>
      </c>
      <c r="B388" s="1">
        <v>44972</v>
      </c>
      <c r="C388" t="s">
        <v>819</v>
      </c>
      <c r="D388" s="3" t="s">
        <v>40</v>
      </c>
      <c r="E388" s="2">
        <v>36201</v>
      </c>
      <c r="F388" s="2">
        <v>5.6</v>
      </c>
      <c r="G388" s="4">
        <v>60</v>
      </c>
      <c r="H388" t="s">
        <v>26</v>
      </c>
      <c r="I388" t="s">
        <v>57</v>
      </c>
      <c r="J388" t="s">
        <v>21</v>
      </c>
      <c r="K388" s="2">
        <v>51119</v>
      </c>
      <c r="L388" t="s">
        <v>33</v>
      </c>
      <c r="M388" s="2">
        <v>0.13</v>
      </c>
      <c r="N388" s="2">
        <v>0.62</v>
      </c>
      <c r="O388" s="2">
        <v>9484.2000000000007</v>
      </c>
      <c r="P388" s="2">
        <v>0</v>
      </c>
      <c r="Q388">
        <f t="shared" si="24"/>
        <v>58388.709677419356</v>
      </c>
      <c r="R388">
        <f t="shared" ca="1" si="25"/>
        <v>37</v>
      </c>
      <c r="S388" s="2">
        <f t="shared" si="26"/>
        <v>-26716.799999999999</v>
      </c>
      <c r="T388" s="18">
        <v>0.1</v>
      </c>
      <c r="U388">
        <f t="shared" si="27"/>
        <v>-29388.480000000003</v>
      </c>
    </row>
    <row r="389" spans="1:21" x14ac:dyDescent="0.3">
      <c r="A389" t="s">
        <v>820</v>
      </c>
      <c r="B389" s="1">
        <v>44801</v>
      </c>
      <c r="C389" t="s">
        <v>821</v>
      </c>
      <c r="D389" s="3" t="s">
        <v>56</v>
      </c>
      <c r="E389" s="2">
        <v>17967</v>
      </c>
      <c r="F389" s="2">
        <v>19.8</v>
      </c>
      <c r="G389" s="4">
        <v>60</v>
      </c>
      <c r="H389" t="s">
        <v>19</v>
      </c>
      <c r="I389" t="s">
        <v>57</v>
      </c>
      <c r="J389" t="s">
        <v>28</v>
      </c>
      <c r="K389" s="2">
        <v>81539</v>
      </c>
      <c r="L389" t="s">
        <v>33</v>
      </c>
      <c r="M389" s="2">
        <v>0.12</v>
      </c>
      <c r="N389" s="2">
        <v>0.77</v>
      </c>
      <c r="O389" s="2">
        <v>21524.47</v>
      </c>
      <c r="P389" s="2">
        <v>0</v>
      </c>
      <c r="Q389">
        <f t="shared" si="24"/>
        <v>23333.766233766233</v>
      </c>
      <c r="R389">
        <f t="shared" ca="1" si="25"/>
        <v>42</v>
      </c>
      <c r="S389" s="2">
        <f t="shared" si="26"/>
        <v>3557.4700000000012</v>
      </c>
      <c r="T389" s="18">
        <v>0.1</v>
      </c>
      <c r="U389">
        <f t="shared" si="27"/>
        <v>3913.2170000000015</v>
      </c>
    </row>
    <row r="390" spans="1:21" x14ac:dyDescent="0.3">
      <c r="A390" t="s">
        <v>822</v>
      </c>
      <c r="B390" s="1">
        <v>45166</v>
      </c>
      <c r="C390" t="s">
        <v>823</v>
      </c>
      <c r="D390" s="3" t="s">
        <v>40</v>
      </c>
      <c r="E390" s="2">
        <v>30759</v>
      </c>
      <c r="F390" s="2">
        <v>7.1</v>
      </c>
      <c r="G390" s="4">
        <v>36</v>
      </c>
      <c r="H390" t="s">
        <v>19</v>
      </c>
      <c r="I390" t="s">
        <v>41</v>
      </c>
      <c r="J390" t="s">
        <v>28</v>
      </c>
      <c r="K390" s="2">
        <v>124835</v>
      </c>
      <c r="L390" t="s">
        <v>33</v>
      </c>
      <c r="M390" s="2">
        <v>0.22</v>
      </c>
      <c r="N390" s="2">
        <v>0.72</v>
      </c>
      <c r="O390" s="2">
        <v>32942.89</v>
      </c>
      <c r="P390" s="2">
        <v>0</v>
      </c>
      <c r="Q390">
        <f t="shared" si="24"/>
        <v>42720.833333333336</v>
      </c>
      <c r="R390">
        <f t="shared" ca="1" si="25"/>
        <v>30</v>
      </c>
      <c r="S390" s="2">
        <f t="shared" si="26"/>
        <v>2183.8899999999994</v>
      </c>
      <c r="T390" s="18">
        <v>0.1</v>
      </c>
      <c r="U390">
        <f t="shared" si="27"/>
        <v>2402.2789999999995</v>
      </c>
    </row>
    <row r="391" spans="1:21" x14ac:dyDescent="0.3">
      <c r="A391" t="s">
        <v>824</v>
      </c>
      <c r="B391" s="1">
        <v>45218</v>
      </c>
      <c r="C391" t="s">
        <v>825</v>
      </c>
      <c r="D391" s="3" t="s">
        <v>65</v>
      </c>
      <c r="E391" s="2">
        <v>21172</v>
      </c>
      <c r="F391" s="2">
        <v>11.3</v>
      </c>
      <c r="G391" s="4">
        <v>36</v>
      </c>
      <c r="H391" t="s">
        <v>26</v>
      </c>
      <c r="I391" t="s">
        <v>20</v>
      </c>
      <c r="J391" t="s">
        <v>21</v>
      </c>
      <c r="K391" s="2">
        <v>69350</v>
      </c>
      <c r="L391" t="s">
        <v>33</v>
      </c>
      <c r="M391" s="2">
        <v>0.47</v>
      </c>
      <c r="N391" s="2">
        <v>0.56000000000000005</v>
      </c>
      <c r="O391" s="2">
        <v>4850.0600000000004</v>
      </c>
      <c r="P391" s="2">
        <v>0</v>
      </c>
      <c r="Q391">
        <f t="shared" si="24"/>
        <v>37807.142857142855</v>
      </c>
      <c r="R391">
        <f t="shared" ca="1" si="25"/>
        <v>29</v>
      </c>
      <c r="S391" s="2">
        <f t="shared" si="26"/>
        <v>-16321.939999999999</v>
      </c>
      <c r="T391" s="18">
        <v>0.1</v>
      </c>
      <c r="U391">
        <f t="shared" si="27"/>
        <v>-17954.133999999998</v>
      </c>
    </row>
    <row r="392" spans="1:21" x14ac:dyDescent="0.3">
      <c r="A392" t="s">
        <v>826</v>
      </c>
      <c r="B392" s="1">
        <v>44614</v>
      </c>
      <c r="C392" t="s">
        <v>827</v>
      </c>
      <c r="D392" s="3" t="s">
        <v>18</v>
      </c>
      <c r="E392" s="2">
        <v>37935</v>
      </c>
      <c r="F392" s="2">
        <v>5.0999999999999996</v>
      </c>
      <c r="G392" s="4">
        <v>36</v>
      </c>
      <c r="H392" t="s">
        <v>19</v>
      </c>
      <c r="I392" t="s">
        <v>57</v>
      </c>
      <c r="J392" t="s">
        <v>37</v>
      </c>
      <c r="K392" s="2">
        <v>76223</v>
      </c>
      <c r="L392" t="s">
        <v>29</v>
      </c>
      <c r="M392" s="2">
        <v>0.31</v>
      </c>
      <c r="N392" s="2">
        <v>0.61</v>
      </c>
      <c r="O392" s="2">
        <v>39869.68</v>
      </c>
      <c r="P392" s="2">
        <v>0</v>
      </c>
      <c r="Q392">
        <f t="shared" si="24"/>
        <v>62188.524590163935</v>
      </c>
      <c r="R392">
        <f t="shared" ca="1" si="25"/>
        <v>48</v>
      </c>
      <c r="S392" s="2">
        <f t="shared" si="26"/>
        <v>1934.6800000000003</v>
      </c>
      <c r="T392" s="18">
        <v>0.1</v>
      </c>
      <c r="U392">
        <f t="shared" si="27"/>
        <v>2128.1480000000006</v>
      </c>
    </row>
    <row r="393" spans="1:21" x14ac:dyDescent="0.3">
      <c r="A393" t="s">
        <v>828</v>
      </c>
      <c r="B393" s="1">
        <v>44311</v>
      </c>
      <c r="C393" t="s">
        <v>829</v>
      </c>
      <c r="D393" s="3" t="s">
        <v>72</v>
      </c>
      <c r="E393" s="2">
        <v>27589</v>
      </c>
      <c r="F393" s="2">
        <v>18.600000000000001</v>
      </c>
      <c r="G393" s="4">
        <v>60</v>
      </c>
      <c r="H393" t="s">
        <v>19</v>
      </c>
      <c r="I393" t="s">
        <v>20</v>
      </c>
      <c r="J393" t="s">
        <v>47</v>
      </c>
      <c r="K393" s="2">
        <v>55517</v>
      </c>
      <c r="L393" t="s">
        <v>29</v>
      </c>
      <c r="M393" s="2">
        <v>0.21</v>
      </c>
      <c r="N393" s="2">
        <v>0.63</v>
      </c>
      <c r="O393" s="2">
        <v>32720.55</v>
      </c>
      <c r="P393" s="2">
        <v>0</v>
      </c>
      <c r="Q393">
        <f t="shared" si="24"/>
        <v>43792.063492063491</v>
      </c>
      <c r="R393">
        <f t="shared" ca="1" si="25"/>
        <v>58</v>
      </c>
      <c r="S393" s="2">
        <f t="shared" si="26"/>
        <v>5131.5499999999993</v>
      </c>
      <c r="T393" s="18">
        <v>0.1</v>
      </c>
      <c r="U393">
        <f t="shared" si="27"/>
        <v>5644.7049999999999</v>
      </c>
    </row>
    <row r="394" spans="1:21" x14ac:dyDescent="0.3">
      <c r="A394" t="s">
        <v>830</v>
      </c>
      <c r="B394" s="1">
        <v>44813</v>
      </c>
      <c r="C394" t="s">
        <v>831</v>
      </c>
      <c r="D394" s="3" t="s">
        <v>18</v>
      </c>
      <c r="E394" s="2">
        <v>31015</v>
      </c>
      <c r="F394" s="2">
        <v>8.3000000000000007</v>
      </c>
      <c r="G394" s="4">
        <v>36</v>
      </c>
      <c r="H394" t="s">
        <v>26</v>
      </c>
      <c r="I394" t="s">
        <v>84</v>
      </c>
      <c r="J394" t="s">
        <v>28</v>
      </c>
      <c r="K394" s="2">
        <v>108653</v>
      </c>
      <c r="L394" t="s">
        <v>22</v>
      </c>
      <c r="M394" s="2">
        <v>0.26</v>
      </c>
      <c r="N394" s="2">
        <v>0.92</v>
      </c>
      <c r="O394" s="2">
        <v>5879.4</v>
      </c>
      <c r="P394" s="2">
        <v>0</v>
      </c>
      <c r="Q394">
        <f t="shared" si="24"/>
        <v>33711.956521739128</v>
      </c>
      <c r="R394">
        <f t="shared" ca="1" si="25"/>
        <v>42</v>
      </c>
      <c r="S394" s="2">
        <f t="shared" si="26"/>
        <v>-25135.599999999999</v>
      </c>
      <c r="T394" s="18">
        <v>0.1</v>
      </c>
      <c r="U394">
        <f t="shared" si="27"/>
        <v>-27649.16</v>
      </c>
    </row>
    <row r="395" spans="1:21" x14ac:dyDescent="0.3">
      <c r="A395" t="s">
        <v>832</v>
      </c>
      <c r="B395" s="1">
        <v>45022</v>
      </c>
      <c r="C395" t="s">
        <v>833</v>
      </c>
      <c r="D395" s="3" t="s">
        <v>40</v>
      </c>
      <c r="E395" s="2">
        <v>30009</v>
      </c>
      <c r="F395" s="2">
        <v>18.100000000000001</v>
      </c>
      <c r="G395" s="4">
        <v>60</v>
      </c>
      <c r="H395" t="s">
        <v>19</v>
      </c>
      <c r="I395" t="s">
        <v>20</v>
      </c>
      <c r="J395" t="s">
        <v>21</v>
      </c>
      <c r="K395" s="2">
        <v>52250</v>
      </c>
      <c r="L395" t="s">
        <v>33</v>
      </c>
      <c r="M395" s="2">
        <v>0.34</v>
      </c>
      <c r="N395" s="2">
        <v>0.6</v>
      </c>
      <c r="O395" s="2">
        <v>35440.629999999997</v>
      </c>
      <c r="P395" s="2">
        <v>0</v>
      </c>
      <c r="Q395">
        <f t="shared" si="24"/>
        <v>50015</v>
      </c>
      <c r="R395">
        <f t="shared" ca="1" si="25"/>
        <v>35</v>
      </c>
      <c r="S395" s="2">
        <f t="shared" si="26"/>
        <v>5431.6299999999974</v>
      </c>
      <c r="T395" s="18">
        <v>0.1</v>
      </c>
      <c r="U395">
        <f t="shared" si="27"/>
        <v>5974.7929999999978</v>
      </c>
    </row>
    <row r="396" spans="1:21" x14ac:dyDescent="0.3">
      <c r="A396" t="s">
        <v>834</v>
      </c>
      <c r="B396" s="1">
        <v>44609</v>
      </c>
      <c r="C396" t="s">
        <v>835</v>
      </c>
      <c r="D396" s="3" t="s">
        <v>56</v>
      </c>
      <c r="E396" s="2">
        <v>18773</v>
      </c>
      <c r="F396" s="2">
        <v>24.8</v>
      </c>
      <c r="G396" s="4">
        <v>60</v>
      </c>
      <c r="H396" t="s">
        <v>26</v>
      </c>
      <c r="I396" t="s">
        <v>27</v>
      </c>
      <c r="J396" t="s">
        <v>21</v>
      </c>
      <c r="K396" s="2">
        <v>114486</v>
      </c>
      <c r="L396" t="s">
        <v>22</v>
      </c>
      <c r="M396" s="2">
        <v>0.36</v>
      </c>
      <c r="N396" s="2">
        <v>0.63</v>
      </c>
      <c r="O396" s="2">
        <v>4751.47</v>
      </c>
      <c r="P396" s="2">
        <v>0</v>
      </c>
      <c r="Q396">
        <f t="shared" si="24"/>
        <v>29798.4126984127</v>
      </c>
      <c r="R396">
        <f t="shared" ca="1" si="25"/>
        <v>49</v>
      </c>
      <c r="S396" s="2">
        <f t="shared" si="26"/>
        <v>-14021.529999999999</v>
      </c>
      <c r="T396" s="18">
        <v>0.1</v>
      </c>
      <c r="U396">
        <f t="shared" si="27"/>
        <v>-15423.682999999999</v>
      </c>
    </row>
    <row r="397" spans="1:21" x14ac:dyDescent="0.3">
      <c r="A397" t="s">
        <v>836</v>
      </c>
      <c r="B397" s="1">
        <v>44925</v>
      </c>
      <c r="C397" t="s">
        <v>837</v>
      </c>
      <c r="D397" s="3" t="s">
        <v>56</v>
      </c>
      <c r="E397" s="2">
        <v>27143</v>
      </c>
      <c r="F397" s="2">
        <v>6.5</v>
      </c>
      <c r="G397" s="4">
        <v>60</v>
      </c>
      <c r="H397" t="s">
        <v>19</v>
      </c>
      <c r="I397" t="s">
        <v>20</v>
      </c>
      <c r="J397" t="s">
        <v>21</v>
      </c>
      <c r="K397" s="2">
        <v>112895</v>
      </c>
      <c r="L397" t="s">
        <v>29</v>
      </c>
      <c r="M397" s="2">
        <v>0.16</v>
      </c>
      <c r="N397" s="2">
        <v>0.67</v>
      </c>
      <c r="O397" s="2">
        <v>28907.3</v>
      </c>
      <c r="P397" s="2">
        <v>0</v>
      </c>
      <c r="Q397">
        <f t="shared" si="24"/>
        <v>40511.940298507463</v>
      </c>
      <c r="R397">
        <f t="shared" ca="1" si="25"/>
        <v>38</v>
      </c>
      <c r="S397" s="2">
        <f t="shared" si="26"/>
        <v>1764.2999999999993</v>
      </c>
      <c r="T397" s="18">
        <v>0.1</v>
      </c>
      <c r="U397">
        <f t="shared" si="27"/>
        <v>1940.7299999999993</v>
      </c>
    </row>
    <row r="398" spans="1:21" x14ac:dyDescent="0.3">
      <c r="A398" t="s">
        <v>838</v>
      </c>
      <c r="B398" s="1">
        <v>45217</v>
      </c>
      <c r="C398" t="s">
        <v>839</v>
      </c>
      <c r="D398" s="3" t="s">
        <v>76</v>
      </c>
      <c r="E398" s="2">
        <v>7154</v>
      </c>
      <c r="F398" s="2">
        <v>6.5</v>
      </c>
      <c r="G398" s="4">
        <v>36</v>
      </c>
      <c r="H398" t="s">
        <v>19</v>
      </c>
      <c r="I398" t="s">
        <v>27</v>
      </c>
      <c r="J398" t="s">
        <v>47</v>
      </c>
      <c r="K398" s="2">
        <v>119132</v>
      </c>
      <c r="L398" t="s">
        <v>33</v>
      </c>
      <c r="M398" s="2">
        <v>0.49</v>
      </c>
      <c r="N398" s="2">
        <v>0.8</v>
      </c>
      <c r="O398" s="2">
        <v>7619.01</v>
      </c>
      <c r="P398" s="2">
        <v>0</v>
      </c>
      <c r="Q398">
        <f t="shared" si="24"/>
        <v>8942.5</v>
      </c>
      <c r="R398">
        <f t="shared" ca="1" si="25"/>
        <v>29</v>
      </c>
      <c r="S398" s="2">
        <f t="shared" si="26"/>
        <v>465.01000000000022</v>
      </c>
      <c r="T398" s="18">
        <v>0.1</v>
      </c>
      <c r="U398">
        <f t="shared" si="27"/>
        <v>511.51100000000031</v>
      </c>
    </row>
    <row r="399" spans="1:21" x14ac:dyDescent="0.3">
      <c r="A399" t="s">
        <v>840</v>
      </c>
      <c r="B399" s="1">
        <v>44957</v>
      </c>
      <c r="C399" t="s">
        <v>841</v>
      </c>
      <c r="D399" s="3" t="s">
        <v>46</v>
      </c>
      <c r="E399" s="2">
        <v>22804</v>
      </c>
      <c r="F399" s="2">
        <v>11.8</v>
      </c>
      <c r="G399" s="4">
        <v>60</v>
      </c>
      <c r="H399" t="s">
        <v>19</v>
      </c>
      <c r="I399" t="s">
        <v>84</v>
      </c>
      <c r="J399" t="s">
        <v>32</v>
      </c>
      <c r="K399" s="2">
        <v>121066</v>
      </c>
      <c r="L399" t="s">
        <v>29</v>
      </c>
      <c r="M399" s="2">
        <v>0.32</v>
      </c>
      <c r="N399" s="2">
        <v>0.55000000000000004</v>
      </c>
      <c r="O399" s="2">
        <v>25494.87</v>
      </c>
      <c r="P399" s="2">
        <v>0</v>
      </c>
      <c r="Q399">
        <f t="shared" si="24"/>
        <v>41461.818181818177</v>
      </c>
      <c r="R399">
        <f t="shared" ca="1" si="25"/>
        <v>37</v>
      </c>
      <c r="S399" s="2">
        <f t="shared" si="26"/>
        <v>2690.869999999999</v>
      </c>
      <c r="T399" s="18">
        <v>0.1</v>
      </c>
      <c r="U399">
        <f t="shared" si="27"/>
        <v>2959.956999999999</v>
      </c>
    </row>
    <row r="400" spans="1:21" x14ac:dyDescent="0.3">
      <c r="A400" t="s">
        <v>842</v>
      </c>
      <c r="B400" s="1">
        <v>44872</v>
      </c>
      <c r="C400" t="s">
        <v>843</v>
      </c>
      <c r="D400" s="3" t="s">
        <v>76</v>
      </c>
      <c r="E400" s="2">
        <v>21581</v>
      </c>
      <c r="F400" s="2">
        <v>22.3</v>
      </c>
      <c r="G400" s="4">
        <v>60</v>
      </c>
      <c r="H400" t="s">
        <v>26</v>
      </c>
      <c r="I400" t="s">
        <v>57</v>
      </c>
      <c r="J400" t="s">
        <v>37</v>
      </c>
      <c r="K400" s="2">
        <v>96798</v>
      </c>
      <c r="L400" t="s">
        <v>22</v>
      </c>
      <c r="M400" s="2">
        <v>0.15</v>
      </c>
      <c r="N400" s="2">
        <v>0.93</v>
      </c>
      <c r="O400" s="2">
        <v>4810.13</v>
      </c>
      <c r="P400" s="2">
        <v>0</v>
      </c>
      <c r="Q400">
        <f t="shared" si="24"/>
        <v>23205.37634408602</v>
      </c>
      <c r="R400">
        <f t="shared" ca="1" si="25"/>
        <v>40</v>
      </c>
      <c r="S400" s="2">
        <f t="shared" si="26"/>
        <v>-16770.87</v>
      </c>
      <c r="T400" s="18">
        <v>0.1</v>
      </c>
      <c r="U400">
        <f t="shared" si="27"/>
        <v>-18447.957000000002</v>
      </c>
    </row>
    <row r="401" spans="1:21" x14ac:dyDescent="0.3">
      <c r="A401" t="s">
        <v>844</v>
      </c>
      <c r="B401" s="1">
        <v>44653</v>
      </c>
      <c r="C401" t="s">
        <v>845</v>
      </c>
      <c r="D401" s="3" t="s">
        <v>72</v>
      </c>
      <c r="E401" s="2">
        <v>31087</v>
      </c>
      <c r="F401" s="2">
        <v>9.3000000000000007</v>
      </c>
      <c r="G401" s="4">
        <v>36</v>
      </c>
      <c r="H401" t="s">
        <v>26</v>
      </c>
      <c r="I401" t="s">
        <v>73</v>
      </c>
      <c r="J401" t="s">
        <v>32</v>
      </c>
      <c r="K401" s="2">
        <v>84199</v>
      </c>
      <c r="L401" t="s">
        <v>29</v>
      </c>
      <c r="M401" s="2">
        <v>0.46</v>
      </c>
      <c r="N401" s="2">
        <v>0.89</v>
      </c>
      <c r="O401" s="2">
        <v>7602.33</v>
      </c>
      <c r="P401" s="2">
        <v>0</v>
      </c>
      <c r="Q401">
        <f t="shared" si="24"/>
        <v>34929.213483146064</v>
      </c>
      <c r="R401">
        <f t="shared" ca="1" si="25"/>
        <v>47</v>
      </c>
      <c r="S401" s="2">
        <f t="shared" si="26"/>
        <v>-23484.67</v>
      </c>
      <c r="T401" s="18">
        <v>0.1</v>
      </c>
      <c r="U401">
        <f t="shared" si="27"/>
        <v>-25833.136999999999</v>
      </c>
    </row>
    <row r="402" spans="1:21" x14ac:dyDescent="0.3">
      <c r="A402" t="s">
        <v>846</v>
      </c>
      <c r="B402" s="1">
        <v>45116</v>
      </c>
      <c r="C402" t="s">
        <v>847</v>
      </c>
      <c r="D402" s="3" t="s">
        <v>72</v>
      </c>
      <c r="E402" s="2">
        <v>33981</v>
      </c>
      <c r="F402" s="2">
        <v>12.2</v>
      </c>
      <c r="G402" s="4">
        <v>36</v>
      </c>
      <c r="H402" t="s">
        <v>19</v>
      </c>
      <c r="I402" t="s">
        <v>57</v>
      </c>
      <c r="J402" t="s">
        <v>37</v>
      </c>
      <c r="K402" s="2">
        <v>89546</v>
      </c>
      <c r="L402" t="s">
        <v>33</v>
      </c>
      <c r="M402" s="2">
        <v>0.13</v>
      </c>
      <c r="N402" s="2">
        <v>0.76</v>
      </c>
      <c r="O402" s="2">
        <v>38126.68</v>
      </c>
      <c r="P402" s="2">
        <v>0</v>
      </c>
      <c r="Q402">
        <f t="shared" si="24"/>
        <v>44711.84210526316</v>
      </c>
      <c r="R402">
        <f t="shared" ca="1" si="25"/>
        <v>32</v>
      </c>
      <c r="S402" s="2">
        <f t="shared" si="26"/>
        <v>4145.68</v>
      </c>
      <c r="T402" s="18">
        <v>0.1</v>
      </c>
      <c r="U402">
        <f t="shared" si="27"/>
        <v>4560.2480000000005</v>
      </c>
    </row>
    <row r="403" spans="1:21" x14ac:dyDescent="0.3">
      <c r="A403" t="s">
        <v>848</v>
      </c>
      <c r="B403" s="1">
        <v>44388</v>
      </c>
      <c r="C403" t="s">
        <v>849</v>
      </c>
      <c r="D403" s="3" t="s">
        <v>72</v>
      </c>
      <c r="E403" s="2">
        <v>4762</v>
      </c>
      <c r="F403" s="2">
        <v>6.4</v>
      </c>
      <c r="G403" s="4">
        <v>60</v>
      </c>
      <c r="H403" t="s">
        <v>19</v>
      </c>
      <c r="I403" t="s">
        <v>57</v>
      </c>
      <c r="J403" t="s">
        <v>37</v>
      </c>
      <c r="K403" s="2">
        <v>135686</v>
      </c>
      <c r="L403" t="s">
        <v>33</v>
      </c>
      <c r="M403" s="2">
        <v>0.46</v>
      </c>
      <c r="N403" s="2">
        <v>0.8</v>
      </c>
      <c r="O403" s="2">
        <v>5066.7700000000004</v>
      </c>
      <c r="P403" s="2">
        <v>0</v>
      </c>
      <c r="Q403">
        <f t="shared" si="24"/>
        <v>5952.5</v>
      </c>
      <c r="R403">
        <f t="shared" ca="1" si="25"/>
        <v>56</v>
      </c>
      <c r="S403" s="2">
        <f t="shared" si="26"/>
        <v>304.77000000000044</v>
      </c>
      <c r="T403" s="18">
        <v>0.1</v>
      </c>
      <c r="U403">
        <f t="shared" si="27"/>
        <v>335.24700000000053</v>
      </c>
    </row>
    <row r="404" spans="1:21" x14ac:dyDescent="0.3">
      <c r="A404" t="s">
        <v>850</v>
      </c>
      <c r="B404" s="1">
        <v>44935</v>
      </c>
      <c r="C404" t="s">
        <v>851</v>
      </c>
      <c r="D404" s="3" t="s">
        <v>25</v>
      </c>
      <c r="E404" s="2">
        <v>10768</v>
      </c>
      <c r="F404" s="2">
        <v>20.3</v>
      </c>
      <c r="G404" s="4">
        <v>60</v>
      </c>
      <c r="H404" t="s">
        <v>81</v>
      </c>
      <c r="I404" t="s">
        <v>84</v>
      </c>
      <c r="J404" t="s">
        <v>21</v>
      </c>
      <c r="K404" s="2">
        <v>118151</v>
      </c>
      <c r="L404" t="s">
        <v>22</v>
      </c>
      <c r="M404" s="2">
        <v>0.5</v>
      </c>
      <c r="N404" s="2">
        <v>0.51</v>
      </c>
      <c r="O404" s="2">
        <v>4240.21</v>
      </c>
      <c r="P404" s="2">
        <v>804.81</v>
      </c>
      <c r="Q404">
        <f t="shared" si="24"/>
        <v>21113.725490196077</v>
      </c>
      <c r="R404">
        <f t="shared" ca="1" si="25"/>
        <v>38</v>
      </c>
      <c r="S404" s="2">
        <f t="shared" si="26"/>
        <v>-5722.98</v>
      </c>
      <c r="T404" s="18">
        <v>0.1</v>
      </c>
      <c r="U404">
        <f t="shared" si="27"/>
        <v>-6295.2780000000002</v>
      </c>
    </row>
    <row r="405" spans="1:21" x14ac:dyDescent="0.3">
      <c r="A405" t="s">
        <v>852</v>
      </c>
      <c r="B405" s="1">
        <v>45174</v>
      </c>
      <c r="C405" t="s">
        <v>853</v>
      </c>
      <c r="D405" s="3" t="s">
        <v>76</v>
      </c>
      <c r="E405" s="2">
        <v>39559</v>
      </c>
      <c r="F405" s="2">
        <v>13.2</v>
      </c>
      <c r="G405" s="4">
        <v>36</v>
      </c>
      <c r="H405" t="s">
        <v>19</v>
      </c>
      <c r="I405" t="s">
        <v>57</v>
      </c>
      <c r="J405" t="s">
        <v>28</v>
      </c>
      <c r="K405" s="2">
        <v>33327</v>
      </c>
      <c r="L405" t="s">
        <v>33</v>
      </c>
      <c r="M405" s="2">
        <v>0.38</v>
      </c>
      <c r="N405" s="2">
        <v>0.65</v>
      </c>
      <c r="O405" s="2">
        <v>44780.79</v>
      </c>
      <c r="P405" s="2">
        <v>0</v>
      </c>
      <c r="Q405">
        <f t="shared" si="24"/>
        <v>60860</v>
      </c>
      <c r="R405">
        <f t="shared" ca="1" si="25"/>
        <v>30</v>
      </c>
      <c r="S405" s="2">
        <f t="shared" si="26"/>
        <v>5221.7900000000009</v>
      </c>
      <c r="T405" s="18">
        <v>0.1</v>
      </c>
      <c r="U405">
        <f t="shared" si="27"/>
        <v>5743.9690000000019</v>
      </c>
    </row>
    <row r="406" spans="1:21" x14ac:dyDescent="0.3">
      <c r="A406" t="s">
        <v>854</v>
      </c>
      <c r="B406" s="1">
        <v>45205</v>
      </c>
      <c r="C406" t="s">
        <v>855</v>
      </c>
      <c r="D406" s="3" t="s">
        <v>25</v>
      </c>
      <c r="E406" s="2">
        <v>9783</v>
      </c>
      <c r="F406" s="2">
        <v>20.2</v>
      </c>
      <c r="G406" s="4">
        <v>36</v>
      </c>
      <c r="H406" t="s">
        <v>81</v>
      </c>
      <c r="I406" t="s">
        <v>27</v>
      </c>
      <c r="J406" t="s">
        <v>21</v>
      </c>
      <c r="K406" s="2">
        <v>59768</v>
      </c>
      <c r="L406" t="s">
        <v>29</v>
      </c>
      <c r="M406" s="2">
        <v>0.41</v>
      </c>
      <c r="N406" s="2">
        <v>0.86</v>
      </c>
      <c r="O406" s="2">
        <v>1238.43</v>
      </c>
      <c r="P406" s="2">
        <v>3866.9</v>
      </c>
      <c r="Q406">
        <f t="shared" si="24"/>
        <v>11375.581395348838</v>
      </c>
      <c r="R406">
        <f t="shared" ca="1" si="25"/>
        <v>29</v>
      </c>
      <c r="S406" s="2">
        <f t="shared" si="26"/>
        <v>-4677.67</v>
      </c>
      <c r="T406" s="18">
        <v>0.1</v>
      </c>
      <c r="U406">
        <f t="shared" si="27"/>
        <v>-5145.4370000000008</v>
      </c>
    </row>
    <row r="407" spans="1:21" x14ac:dyDescent="0.3">
      <c r="A407" t="s">
        <v>856</v>
      </c>
      <c r="B407" s="1">
        <v>44292</v>
      </c>
      <c r="C407" t="s">
        <v>857</v>
      </c>
      <c r="D407" s="3" t="s">
        <v>18</v>
      </c>
      <c r="E407" s="2">
        <v>30781</v>
      </c>
      <c r="F407" s="2">
        <v>23.1</v>
      </c>
      <c r="G407" s="4">
        <v>36</v>
      </c>
      <c r="H407" t="s">
        <v>19</v>
      </c>
      <c r="I407" t="s">
        <v>20</v>
      </c>
      <c r="J407" t="s">
        <v>47</v>
      </c>
      <c r="K407" s="2">
        <v>94418</v>
      </c>
      <c r="L407" t="s">
        <v>29</v>
      </c>
      <c r="M407" s="2">
        <v>0.23</v>
      </c>
      <c r="N407" s="2">
        <v>0.53</v>
      </c>
      <c r="O407" s="2">
        <v>37891.410000000003</v>
      </c>
      <c r="P407" s="2">
        <v>0</v>
      </c>
      <c r="Q407">
        <f t="shared" si="24"/>
        <v>58077.358490566032</v>
      </c>
      <c r="R407">
        <f t="shared" ca="1" si="25"/>
        <v>59</v>
      </c>
      <c r="S407" s="2">
        <f t="shared" si="26"/>
        <v>7110.4100000000035</v>
      </c>
      <c r="T407" s="18">
        <v>0.1</v>
      </c>
      <c r="U407">
        <f t="shared" si="27"/>
        <v>7821.4510000000046</v>
      </c>
    </row>
    <row r="408" spans="1:21" x14ac:dyDescent="0.3">
      <c r="A408" t="s">
        <v>858</v>
      </c>
      <c r="B408" s="1">
        <v>44859</v>
      </c>
      <c r="C408" t="s">
        <v>859</v>
      </c>
      <c r="D408" s="3" t="s">
        <v>46</v>
      </c>
      <c r="E408" s="2">
        <v>31811</v>
      </c>
      <c r="F408" s="2">
        <v>9.6999999999999993</v>
      </c>
      <c r="G408" s="4">
        <v>60</v>
      </c>
      <c r="H408" t="s">
        <v>26</v>
      </c>
      <c r="I408" t="s">
        <v>20</v>
      </c>
      <c r="J408" t="s">
        <v>37</v>
      </c>
      <c r="K408" s="2">
        <v>124386</v>
      </c>
      <c r="L408" t="s">
        <v>29</v>
      </c>
      <c r="M408" s="2">
        <v>0.48</v>
      </c>
      <c r="N408" s="2">
        <v>0.63</v>
      </c>
      <c r="O408" s="2">
        <v>14792.24</v>
      </c>
      <c r="P408" s="2">
        <v>0</v>
      </c>
      <c r="Q408">
        <f t="shared" si="24"/>
        <v>50493.650793650791</v>
      </c>
      <c r="R408">
        <f t="shared" ca="1" si="25"/>
        <v>40</v>
      </c>
      <c r="S408" s="2">
        <f t="shared" si="26"/>
        <v>-17018.760000000002</v>
      </c>
      <c r="T408" s="18">
        <v>0.1</v>
      </c>
      <c r="U408">
        <f t="shared" si="27"/>
        <v>-18720.636000000002</v>
      </c>
    </row>
    <row r="409" spans="1:21" x14ac:dyDescent="0.3">
      <c r="A409" t="s">
        <v>860</v>
      </c>
      <c r="B409" s="1">
        <v>44233</v>
      </c>
      <c r="C409" t="s">
        <v>861</v>
      </c>
      <c r="D409" s="3" t="s">
        <v>40</v>
      </c>
      <c r="E409" s="2">
        <v>36488</v>
      </c>
      <c r="F409" s="2">
        <v>21.1</v>
      </c>
      <c r="G409" s="4">
        <v>36</v>
      </c>
      <c r="H409" t="s">
        <v>19</v>
      </c>
      <c r="I409" t="s">
        <v>57</v>
      </c>
      <c r="J409" t="s">
        <v>28</v>
      </c>
      <c r="K409" s="2">
        <v>146947</v>
      </c>
      <c r="L409" t="s">
        <v>29</v>
      </c>
      <c r="M409" s="2">
        <v>0.31</v>
      </c>
      <c r="N409" s="2">
        <v>0.76</v>
      </c>
      <c r="O409" s="2">
        <v>44186.97</v>
      </c>
      <c r="P409" s="2">
        <v>0</v>
      </c>
      <c r="Q409">
        <f t="shared" si="24"/>
        <v>48010.526315789473</v>
      </c>
      <c r="R409">
        <f t="shared" ca="1" si="25"/>
        <v>61</v>
      </c>
      <c r="S409" s="2">
        <f t="shared" si="26"/>
        <v>7698.9700000000012</v>
      </c>
      <c r="T409" s="18">
        <v>0.1</v>
      </c>
      <c r="U409">
        <f t="shared" si="27"/>
        <v>8468.867000000002</v>
      </c>
    </row>
    <row r="410" spans="1:21" x14ac:dyDescent="0.3">
      <c r="A410" t="s">
        <v>862</v>
      </c>
      <c r="B410" s="1">
        <v>44475</v>
      </c>
      <c r="C410" t="s">
        <v>863</v>
      </c>
      <c r="D410" s="3" t="s">
        <v>53</v>
      </c>
      <c r="E410" s="2">
        <v>9905</v>
      </c>
      <c r="F410" s="2">
        <v>6.2</v>
      </c>
      <c r="G410" s="4">
        <v>36</v>
      </c>
      <c r="H410" t="s">
        <v>81</v>
      </c>
      <c r="I410" t="s">
        <v>73</v>
      </c>
      <c r="J410" t="s">
        <v>37</v>
      </c>
      <c r="K410" s="2">
        <v>72788</v>
      </c>
      <c r="L410" t="s">
        <v>22</v>
      </c>
      <c r="M410" s="2">
        <v>0.39</v>
      </c>
      <c r="N410" s="2">
        <v>0.62</v>
      </c>
      <c r="O410" s="2">
        <v>2417.52</v>
      </c>
      <c r="P410" s="2">
        <v>3932.05</v>
      </c>
      <c r="Q410">
        <f t="shared" si="24"/>
        <v>15975.806451612903</v>
      </c>
      <c r="R410">
        <f t="shared" ca="1" si="25"/>
        <v>53</v>
      </c>
      <c r="S410" s="2">
        <f t="shared" si="26"/>
        <v>-3555.4300000000003</v>
      </c>
      <c r="T410" s="18">
        <v>0.1</v>
      </c>
      <c r="U410">
        <f t="shared" si="27"/>
        <v>-3910.9730000000004</v>
      </c>
    </row>
    <row r="411" spans="1:21" x14ac:dyDescent="0.3">
      <c r="A411" t="s">
        <v>864</v>
      </c>
      <c r="B411" s="1">
        <v>44413</v>
      </c>
      <c r="C411" t="s">
        <v>865</v>
      </c>
      <c r="D411" s="3" t="s">
        <v>76</v>
      </c>
      <c r="E411" s="2">
        <v>10127</v>
      </c>
      <c r="F411" s="2">
        <v>23</v>
      </c>
      <c r="G411" s="4">
        <v>36</v>
      </c>
      <c r="H411" t="s">
        <v>26</v>
      </c>
      <c r="I411" t="s">
        <v>73</v>
      </c>
      <c r="J411" t="s">
        <v>37</v>
      </c>
      <c r="K411" s="2">
        <v>145945</v>
      </c>
      <c r="L411" t="s">
        <v>29</v>
      </c>
      <c r="M411" s="2">
        <v>0.47</v>
      </c>
      <c r="N411" s="2">
        <v>0.92</v>
      </c>
      <c r="O411" s="2">
        <v>3348.84</v>
      </c>
      <c r="P411" s="2">
        <v>0</v>
      </c>
      <c r="Q411">
        <f t="shared" si="24"/>
        <v>11007.608695652174</v>
      </c>
      <c r="R411">
        <f t="shared" ca="1" si="25"/>
        <v>55</v>
      </c>
      <c r="S411" s="2">
        <f t="shared" si="26"/>
        <v>-6778.16</v>
      </c>
      <c r="T411" s="18">
        <v>0.1</v>
      </c>
      <c r="U411">
        <f t="shared" si="27"/>
        <v>-7455.9760000000006</v>
      </c>
    </row>
    <row r="412" spans="1:21" x14ac:dyDescent="0.3">
      <c r="A412" t="s">
        <v>866</v>
      </c>
      <c r="B412" s="1">
        <v>45063</v>
      </c>
      <c r="C412" t="s">
        <v>867</v>
      </c>
      <c r="D412" s="3" t="s">
        <v>53</v>
      </c>
      <c r="E412" s="2">
        <v>23431</v>
      </c>
      <c r="F412" s="2">
        <v>18</v>
      </c>
      <c r="G412" s="4">
        <v>60</v>
      </c>
      <c r="H412" t="s">
        <v>19</v>
      </c>
      <c r="I412" t="s">
        <v>27</v>
      </c>
      <c r="J412" t="s">
        <v>21</v>
      </c>
      <c r="K412" s="2">
        <v>112384</v>
      </c>
      <c r="L412" t="s">
        <v>22</v>
      </c>
      <c r="M412" s="2">
        <v>0.49</v>
      </c>
      <c r="N412" s="2">
        <v>0.56000000000000005</v>
      </c>
      <c r="O412" s="2">
        <v>27648.58</v>
      </c>
      <c r="P412" s="2">
        <v>0</v>
      </c>
      <c r="Q412">
        <f t="shared" si="24"/>
        <v>41841.071428571428</v>
      </c>
      <c r="R412">
        <f t="shared" ca="1" si="25"/>
        <v>34</v>
      </c>
      <c r="S412" s="2">
        <f t="shared" si="26"/>
        <v>4217.5800000000017</v>
      </c>
      <c r="T412" s="18">
        <v>0.1</v>
      </c>
      <c r="U412">
        <f t="shared" si="27"/>
        <v>4639.3380000000025</v>
      </c>
    </row>
    <row r="413" spans="1:21" x14ac:dyDescent="0.3">
      <c r="A413" t="s">
        <v>868</v>
      </c>
      <c r="B413" s="1">
        <v>45069</v>
      </c>
      <c r="C413" t="s">
        <v>869</v>
      </c>
      <c r="D413" s="3" t="s">
        <v>56</v>
      </c>
      <c r="E413" s="2">
        <v>7368</v>
      </c>
      <c r="F413" s="2">
        <v>22.5</v>
      </c>
      <c r="G413" s="4">
        <v>36</v>
      </c>
      <c r="H413" t="s">
        <v>19</v>
      </c>
      <c r="I413" t="s">
        <v>20</v>
      </c>
      <c r="J413" t="s">
        <v>28</v>
      </c>
      <c r="K413" s="2">
        <v>76830</v>
      </c>
      <c r="L413" t="s">
        <v>29</v>
      </c>
      <c r="M413" s="2">
        <v>0.43</v>
      </c>
      <c r="N413" s="2">
        <v>0.86</v>
      </c>
      <c r="O413" s="2">
        <v>9025.7999999999993</v>
      </c>
      <c r="P413" s="2">
        <v>0</v>
      </c>
      <c r="Q413">
        <f t="shared" si="24"/>
        <v>8567.4418604651164</v>
      </c>
      <c r="R413">
        <f t="shared" ca="1" si="25"/>
        <v>33</v>
      </c>
      <c r="S413" s="2">
        <f t="shared" si="26"/>
        <v>1657.7999999999993</v>
      </c>
      <c r="T413" s="18">
        <v>0.1</v>
      </c>
      <c r="U413">
        <f t="shared" si="27"/>
        <v>1823.5799999999992</v>
      </c>
    </row>
    <row r="414" spans="1:21" x14ac:dyDescent="0.3">
      <c r="A414" t="s">
        <v>870</v>
      </c>
      <c r="B414" s="1">
        <v>44258</v>
      </c>
      <c r="C414" t="s">
        <v>871</v>
      </c>
      <c r="D414" s="3" t="s">
        <v>76</v>
      </c>
      <c r="E414" s="2">
        <v>28424</v>
      </c>
      <c r="F414" s="2">
        <v>5</v>
      </c>
      <c r="G414" s="4">
        <v>36</v>
      </c>
      <c r="H414" t="s">
        <v>26</v>
      </c>
      <c r="I414" t="s">
        <v>20</v>
      </c>
      <c r="J414" t="s">
        <v>28</v>
      </c>
      <c r="K414" s="2">
        <v>82446</v>
      </c>
      <c r="L414" t="s">
        <v>22</v>
      </c>
      <c r="M414" s="2">
        <v>0.22</v>
      </c>
      <c r="N414" s="2">
        <v>0.73</v>
      </c>
      <c r="O414" s="2">
        <v>12039.9</v>
      </c>
      <c r="P414" s="2">
        <v>0</v>
      </c>
      <c r="Q414">
        <f t="shared" si="24"/>
        <v>38936.986301369863</v>
      </c>
      <c r="R414">
        <f t="shared" ca="1" si="25"/>
        <v>60</v>
      </c>
      <c r="S414" s="2">
        <f t="shared" si="26"/>
        <v>-16384.099999999999</v>
      </c>
      <c r="T414" s="18">
        <v>0.1</v>
      </c>
      <c r="U414">
        <f t="shared" si="27"/>
        <v>-18022.509999999998</v>
      </c>
    </row>
    <row r="415" spans="1:21" x14ac:dyDescent="0.3">
      <c r="A415" t="s">
        <v>872</v>
      </c>
      <c r="B415" s="1">
        <v>44792</v>
      </c>
      <c r="C415" t="s">
        <v>873</v>
      </c>
      <c r="D415" s="3" t="s">
        <v>18</v>
      </c>
      <c r="E415" s="2">
        <v>19333</v>
      </c>
      <c r="F415" s="2">
        <v>8.4</v>
      </c>
      <c r="G415" s="4">
        <v>36</v>
      </c>
      <c r="H415" t="s">
        <v>26</v>
      </c>
      <c r="I415" t="s">
        <v>27</v>
      </c>
      <c r="J415" t="s">
        <v>37</v>
      </c>
      <c r="K415" s="2">
        <v>135078</v>
      </c>
      <c r="L415" t="s">
        <v>29</v>
      </c>
      <c r="M415" s="2">
        <v>0.49</v>
      </c>
      <c r="N415" s="2">
        <v>0.84</v>
      </c>
      <c r="O415" s="2">
        <v>4102.62</v>
      </c>
      <c r="P415" s="2">
        <v>0</v>
      </c>
      <c r="Q415">
        <f t="shared" si="24"/>
        <v>23015.476190476191</v>
      </c>
      <c r="R415">
        <f t="shared" ca="1" si="25"/>
        <v>43</v>
      </c>
      <c r="S415" s="2">
        <f t="shared" si="26"/>
        <v>-15230.380000000001</v>
      </c>
      <c r="T415" s="18">
        <v>0.1</v>
      </c>
      <c r="U415">
        <f t="shared" si="27"/>
        <v>-16753.418000000001</v>
      </c>
    </row>
    <row r="416" spans="1:21" x14ac:dyDescent="0.3">
      <c r="A416" t="s">
        <v>874</v>
      </c>
      <c r="B416" s="1">
        <v>44925</v>
      </c>
      <c r="C416" t="s">
        <v>875</v>
      </c>
      <c r="D416" s="3" t="s">
        <v>76</v>
      </c>
      <c r="E416" s="2">
        <v>24116</v>
      </c>
      <c r="F416" s="2">
        <v>12.8</v>
      </c>
      <c r="G416" s="4">
        <v>36</v>
      </c>
      <c r="H416" t="s">
        <v>19</v>
      </c>
      <c r="I416" t="s">
        <v>84</v>
      </c>
      <c r="J416" t="s">
        <v>28</v>
      </c>
      <c r="K416" s="2">
        <v>45160</v>
      </c>
      <c r="L416" t="s">
        <v>29</v>
      </c>
      <c r="M416" s="2">
        <v>0.35</v>
      </c>
      <c r="N416" s="2">
        <v>0.64</v>
      </c>
      <c r="O416" s="2">
        <v>27202.85</v>
      </c>
      <c r="P416" s="2">
        <v>0</v>
      </c>
      <c r="Q416">
        <f t="shared" si="24"/>
        <v>37681.25</v>
      </c>
      <c r="R416">
        <f t="shared" ca="1" si="25"/>
        <v>38</v>
      </c>
      <c r="S416" s="2">
        <f t="shared" si="26"/>
        <v>3086.8499999999985</v>
      </c>
      <c r="T416" s="18">
        <v>0.1</v>
      </c>
      <c r="U416">
        <f t="shared" si="27"/>
        <v>3395.5349999999985</v>
      </c>
    </row>
    <row r="417" spans="1:21" x14ac:dyDescent="0.3">
      <c r="A417" t="s">
        <v>876</v>
      </c>
      <c r="B417" s="1">
        <v>44593</v>
      </c>
      <c r="C417" t="s">
        <v>877</v>
      </c>
      <c r="D417" s="3" t="s">
        <v>25</v>
      </c>
      <c r="E417" s="2">
        <v>16525</v>
      </c>
      <c r="F417" s="2">
        <v>12.6</v>
      </c>
      <c r="G417" s="4">
        <v>36</v>
      </c>
      <c r="H417" t="s">
        <v>19</v>
      </c>
      <c r="I417" t="s">
        <v>20</v>
      </c>
      <c r="J417" t="s">
        <v>28</v>
      </c>
      <c r="K417" s="2">
        <v>86583</v>
      </c>
      <c r="L417" t="s">
        <v>22</v>
      </c>
      <c r="M417" s="2">
        <v>0.47</v>
      </c>
      <c r="N417" s="2">
        <v>0.73</v>
      </c>
      <c r="O417" s="2">
        <v>18607.150000000001</v>
      </c>
      <c r="P417" s="2">
        <v>0</v>
      </c>
      <c r="Q417">
        <f t="shared" si="24"/>
        <v>22636.986301369863</v>
      </c>
      <c r="R417">
        <f t="shared" ca="1" si="25"/>
        <v>49</v>
      </c>
      <c r="S417" s="2">
        <f t="shared" si="26"/>
        <v>2082.1500000000015</v>
      </c>
      <c r="T417" s="18">
        <v>0.1</v>
      </c>
      <c r="U417">
        <f t="shared" si="27"/>
        <v>2290.3650000000016</v>
      </c>
    </row>
    <row r="418" spans="1:21" x14ac:dyDescent="0.3">
      <c r="A418" t="s">
        <v>878</v>
      </c>
      <c r="B418" s="1">
        <v>44895</v>
      </c>
      <c r="C418" t="s">
        <v>879</v>
      </c>
      <c r="D418" s="3" t="s">
        <v>46</v>
      </c>
      <c r="E418" s="2">
        <v>24398</v>
      </c>
      <c r="F418" s="2">
        <v>9.5</v>
      </c>
      <c r="G418" s="4">
        <v>60</v>
      </c>
      <c r="H418" t="s">
        <v>26</v>
      </c>
      <c r="I418" t="s">
        <v>73</v>
      </c>
      <c r="J418" t="s">
        <v>21</v>
      </c>
      <c r="K418" s="2">
        <v>63998</v>
      </c>
      <c r="L418" t="s">
        <v>33</v>
      </c>
      <c r="M418" s="2">
        <v>0.37</v>
      </c>
      <c r="N418" s="2">
        <v>0.89</v>
      </c>
      <c r="O418" s="2">
        <v>5945.55</v>
      </c>
      <c r="P418" s="2">
        <v>0</v>
      </c>
      <c r="Q418">
        <f t="shared" si="24"/>
        <v>27413.483146067414</v>
      </c>
      <c r="R418">
        <f t="shared" ca="1" si="25"/>
        <v>39</v>
      </c>
      <c r="S418" s="2">
        <f t="shared" si="26"/>
        <v>-18452.45</v>
      </c>
      <c r="T418" s="18">
        <v>0.1</v>
      </c>
      <c r="U418">
        <f t="shared" si="27"/>
        <v>-20297.695000000003</v>
      </c>
    </row>
    <row r="419" spans="1:21" x14ac:dyDescent="0.3">
      <c r="A419" t="s">
        <v>880</v>
      </c>
      <c r="B419" s="1">
        <v>45239</v>
      </c>
      <c r="C419" t="s">
        <v>881</v>
      </c>
      <c r="D419" s="3" t="s">
        <v>40</v>
      </c>
      <c r="E419" s="2">
        <v>33857</v>
      </c>
      <c r="F419" s="2">
        <v>12.6</v>
      </c>
      <c r="G419" s="4">
        <v>60</v>
      </c>
      <c r="H419" t="s">
        <v>19</v>
      </c>
      <c r="I419" t="s">
        <v>57</v>
      </c>
      <c r="J419" t="s">
        <v>32</v>
      </c>
      <c r="K419" s="2">
        <v>57230</v>
      </c>
      <c r="L419" t="s">
        <v>33</v>
      </c>
      <c r="M419" s="2">
        <v>0.22</v>
      </c>
      <c r="N419" s="2">
        <v>0.71</v>
      </c>
      <c r="O419" s="2">
        <v>38122.980000000003</v>
      </c>
      <c r="P419" s="2">
        <v>0</v>
      </c>
      <c r="Q419">
        <f t="shared" si="24"/>
        <v>47685.915492957749</v>
      </c>
      <c r="R419">
        <f t="shared" ca="1" si="25"/>
        <v>28</v>
      </c>
      <c r="S419" s="2">
        <f t="shared" si="26"/>
        <v>4265.9800000000032</v>
      </c>
      <c r="T419" s="18">
        <v>0.1</v>
      </c>
      <c r="U419">
        <f t="shared" si="27"/>
        <v>4692.5780000000041</v>
      </c>
    </row>
    <row r="420" spans="1:21" x14ac:dyDescent="0.3">
      <c r="A420" t="s">
        <v>882</v>
      </c>
      <c r="B420" s="1">
        <v>44373</v>
      </c>
      <c r="C420" t="s">
        <v>883</v>
      </c>
      <c r="D420" s="3" t="s">
        <v>50</v>
      </c>
      <c r="E420" s="2">
        <v>11361</v>
      </c>
      <c r="F420" s="2">
        <v>7.6</v>
      </c>
      <c r="G420" s="4">
        <v>60</v>
      </c>
      <c r="H420" t="s">
        <v>26</v>
      </c>
      <c r="I420" t="s">
        <v>84</v>
      </c>
      <c r="J420" t="s">
        <v>47</v>
      </c>
      <c r="K420" s="2">
        <v>39076</v>
      </c>
      <c r="L420" t="s">
        <v>33</v>
      </c>
      <c r="M420" s="2">
        <v>0.25</v>
      </c>
      <c r="N420" s="2">
        <v>0.66</v>
      </c>
      <c r="O420" s="2">
        <v>2661.69</v>
      </c>
      <c r="P420" s="2">
        <v>0</v>
      </c>
      <c r="Q420">
        <f t="shared" si="24"/>
        <v>17213.636363636364</v>
      </c>
      <c r="R420">
        <f t="shared" ca="1" si="25"/>
        <v>56</v>
      </c>
      <c r="S420" s="2">
        <f t="shared" si="26"/>
        <v>-8699.31</v>
      </c>
      <c r="T420" s="18">
        <v>0.1</v>
      </c>
      <c r="U420">
        <f t="shared" si="27"/>
        <v>-9569.241</v>
      </c>
    </row>
    <row r="421" spans="1:21" x14ac:dyDescent="0.3">
      <c r="A421" t="s">
        <v>884</v>
      </c>
      <c r="B421" s="1">
        <v>44592</v>
      </c>
      <c r="C421" t="s">
        <v>885</v>
      </c>
      <c r="D421" s="3" t="s">
        <v>40</v>
      </c>
      <c r="E421" s="2">
        <v>17369</v>
      </c>
      <c r="F421" s="2">
        <v>13.3</v>
      </c>
      <c r="G421" s="4">
        <v>36</v>
      </c>
      <c r="H421" t="s">
        <v>19</v>
      </c>
      <c r="I421" t="s">
        <v>84</v>
      </c>
      <c r="J421" t="s">
        <v>32</v>
      </c>
      <c r="K421" s="2">
        <v>99341</v>
      </c>
      <c r="L421" t="s">
        <v>22</v>
      </c>
      <c r="M421" s="2">
        <v>0.32</v>
      </c>
      <c r="N421" s="2">
        <v>0.74</v>
      </c>
      <c r="O421" s="2">
        <v>19679.080000000002</v>
      </c>
      <c r="P421" s="2">
        <v>0</v>
      </c>
      <c r="Q421">
        <f t="shared" si="24"/>
        <v>23471.621621621623</v>
      </c>
      <c r="R421">
        <f t="shared" ca="1" si="25"/>
        <v>49</v>
      </c>
      <c r="S421" s="2">
        <f t="shared" si="26"/>
        <v>2310.0800000000017</v>
      </c>
      <c r="T421" s="18">
        <v>0.1</v>
      </c>
      <c r="U421">
        <f t="shared" si="27"/>
        <v>2541.088000000002</v>
      </c>
    </row>
    <row r="422" spans="1:21" x14ac:dyDescent="0.3">
      <c r="A422" t="s">
        <v>886</v>
      </c>
      <c r="B422" s="1">
        <v>44641</v>
      </c>
      <c r="C422" t="s">
        <v>887</v>
      </c>
      <c r="D422" s="3" t="s">
        <v>40</v>
      </c>
      <c r="E422" s="2">
        <v>4041</v>
      </c>
      <c r="F422" s="2">
        <v>21</v>
      </c>
      <c r="G422" s="4">
        <v>60</v>
      </c>
      <c r="H422" t="s">
        <v>81</v>
      </c>
      <c r="I422" t="s">
        <v>84</v>
      </c>
      <c r="J422" t="s">
        <v>28</v>
      </c>
      <c r="K422" s="2">
        <v>61085</v>
      </c>
      <c r="L422" t="s">
        <v>33</v>
      </c>
      <c r="M422" s="2">
        <v>0.42</v>
      </c>
      <c r="N422" s="2">
        <v>0.82</v>
      </c>
      <c r="O422" s="2">
        <v>858.39</v>
      </c>
      <c r="P422" s="2">
        <v>1009</v>
      </c>
      <c r="Q422">
        <f t="shared" si="24"/>
        <v>4928.0487804878048</v>
      </c>
      <c r="R422">
        <f t="shared" ca="1" si="25"/>
        <v>47</v>
      </c>
      <c r="S422" s="2">
        <f t="shared" si="26"/>
        <v>-2173.61</v>
      </c>
      <c r="T422" s="18">
        <v>0.1</v>
      </c>
      <c r="U422">
        <f t="shared" si="27"/>
        <v>-2390.9710000000005</v>
      </c>
    </row>
    <row r="423" spans="1:21" x14ac:dyDescent="0.3">
      <c r="A423" t="s">
        <v>888</v>
      </c>
      <c r="B423" s="1">
        <v>44272</v>
      </c>
      <c r="C423" t="s">
        <v>889</v>
      </c>
      <c r="D423" s="3" t="s">
        <v>56</v>
      </c>
      <c r="E423" s="2">
        <v>1105</v>
      </c>
      <c r="F423" s="2">
        <v>14.6</v>
      </c>
      <c r="G423" s="4">
        <v>60</v>
      </c>
      <c r="H423" t="s">
        <v>81</v>
      </c>
      <c r="I423" t="s">
        <v>27</v>
      </c>
      <c r="J423" t="s">
        <v>37</v>
      </c>
      <c r="K423" s="2">
        <v>85571</v>
      </c>
      <c r="L423" t="s">
        <v>33</v>
      </c>
      <c r="M423" s="2">
        <v>0.23</v>
      </c>
      <c r="N423" s="2">
        <v>0.7</v>
      </c>
      <c r="O423" s="2">
        <v>417.31</v>
      </c>
      <c r="P423" s="2">
        <v>388.04</v>
      </c>
      <c r="Q423">
        <f t="shared" si="24"/>
        <v>1578.5714285714287</v>
      </c>
      <c r="R423">
        <f t="shared" ca="1" si="25"/>
        <v>60</v>
      </c>
      <c r="S423" s="2">
        <f t="shared" si="26"/>
        <v>-299.64999999999998</v>
      </c>
      <c r="T423" s="18">
        <v>0.1</v>
      </c>
      <c r="U423">
        <f t="shared" si="27"/>
        <v>-329.61500000000001</v>
      </c>
    </row>
    <row r="424" spans="1:21" x14ac:dyDescent="0.3">
      <c r="A424" t="s">
        <v>890</v>
      </c>
      <c r="B424" s="1">
        <v>44461</v>
      </c>
      <c r="C424" t="s">
        <v>891</v>
      </c>
      <c r="D424" s="3" t="s">
        <v>18</v>
      </c>
      <c r="E424" s="2">
        <v>10078</v>
      </c>
      <c r="F424" s="2">
        <v>5.4</v>
      </c>
      <c r="G424" s="4">
        <v>60</v>
      </c>
      <c r="H424" t="s">
        <v>315</v>
      </c>
      <c r="I424" t="s">
        <v>57</v>
      </c>
      <c r="J424" t="s">
        <v>47</v>
      </c>
      <c r="K424" s="2">
        <v>44715</v>
      </c>
      <c r="L424" t="s">
        <v>22</v>
      </c>
      <c r="M424" s="2">
        <v>0.33</v>
      </c>
      <c r="N424" s="2">
        <v>0.92</v>
      </c>
      <c r="O424" s="2">
        <v>0</v>
      </c>
      <c r="P424" s="2">
        <v>0</v>
      </c>
      <c r="Q424">
        <f t="shared" si="24"/>
        <v>10954.347826086956</v>
      </c>
      <c r="R424">
        <f t="shared" ca="1" si="25"/>
        <v>53</v>
      </c>
      <c r="S424" s="2">
        <f t="shared" si="26"/>
        <v>-10078</v>
      </c>
      <c r="T424" s="18">
        <v>0.1</v>
      </c>
      <c r="U424">
        <f t="shared" si="27"/>
        <v>-11085.800000000001</v>
      </c>
    </row>
    <row r="425" spans="1:21" x14ac:dyDescent="0.3">
      <c r="A425" t="s">
        <v>892</v>
      </c>
      <c r="B425" s="1">
        <v>44651</v>
      </c>
      <c r="C425" t="s">
        <v>893</v>
      </c>
      <c r="D425" s="3" t="s">
        <v>53</v>
      </c>
      <c r="E425" s="2">
        <v>26003</v>
      </c>
      <c r="F425" s="2">
        <v>13.4</v>
      </c>
      <c r="G425" s="4">
        <v>36</v>
      </c>
      <c r="H425" t="s">
        <v>19</v>
      </c>
      <c r="I425" t="s">
        <v>84</v>
      </c>
      <c r="J425" t="s">
        <v>47</v>
      </c>
      <c r="K425" s="2">
        <v>35750</v>
      </c>
      <c r="L425" t="s">
        <v>33</v>
      </c>
      <c r="M425" s="2">
        <v>0.24</v>
      </c>
      <c r="N425" s="2">
        <v>0.63</v>
      </c>
      <c r="O425" s="2">
        <v>29487.4</v>
      </c>
      <c r="P425" s="2">
        <v>0</v>
      </c>
      <c r="Q425">
        <f t="shared" si="24"/>
        <v>41274.603174603173</v>
      </c>
      <c r="R425">
        <f t="shared" ca="1" si="25"/>
        <v>47</v>
      </c>
      <c r="S425" s="2">
        <f t="shared" si="26"/>
        <v>3484.4000000000015</v>
      </c>
      <c r="T425" s="18">
        <v>0.1</v>
      </c>
      <c r="U425">
        <f t="shared" si="27"/>
        <v>3832.840000000002</v>
      </c>
    </row>
    <row r="426" spans="1:21" x14ac:dyDescent="0.3">
      <c r="A426" t="s">
        <v>894</v>
      </c>
      <c r="B426" s="1">
        <v>44914</v>
      </c>
      <c r="C426" t="s">
        <v>895</v>
      </c>
      <c r="D426" s="3" t="s">
        <v>18</v>
      </c>
      <c r="E426" s="2">
        <v>7090</v>
      </c>
      <c r="F426" s="2">
        <v>5.5</v>
      </c>
      <c r="G426" s="4">
        <v>36</v>
      </c>
      <c r="H426" t="s">
        <v>81</v>
      </c>
      <c r="I426" t="s">
        <v>73</v>
      </c>
      <c r="J426" t="s">
        <v>37</v>
      </c>
      <c r="K426" s="2">
        <v>143931</v>
      </c>
      <c r="L426" t="s">
        <v>33</v>
      </c>
      <c r="M426" s="2">
        <v>0.43</v>
      </c>
      <c r="N426" s="2">
        <v>0.71</v>
      </c>
      <c r="O426" s="2">
        <v>2472.13</v>
      </c>
      <c r="P426" s="2">
        <v>1824.75</v>
      </c>
      <c r="Q426">
        <f t="shared" si="24"/>
        <v>9985.9154929577471</v>
      </c>
      <c r="R426">
        <f t="shared" ca="1" si="25"/>
        <v>39</v>
      </c>
      <c r="S426" s="2">
        <f t="shared" si="26"/>
        <v>-2793.12</v>
      </c>
      <c r="T426" s="18">
        <v>0.1</v>
      </c>
      <c r="U426">
        <f t="shared" si="27"/>
        <v>-3072.4320000000002</v>
      </c>
    </row>
    <row r="427" spans="1:21" x14ac:dyDescent="0.3">
      <c r="A427" t="s">
        <v>896</v>
      </c>
      <c r="B427" s="1">
        <v>44931</v>
      </c>
      <c r="C427" t="s">
        <v>897</v>
      </c>
      <c r="D427" s="3" t="s">
        <v>50</v>
      </c>
      <c r="E427" s="2">
        <v>39850</v>
      </c>
      <c r="F427" s="2">
        <v>24.3</v>
      </c>
      <c r="G427" s="4">
        <v>60</v>
      </c>
      <c r="H427" t="s">
        <v>19</v>
      </c>
      <c r="I427" t="s">
        <v>20</v>
      </c>
      <c r="J427" t="s">
        <v>47</v>
      </c>
      <c r="K427" s="2">
        <v>108768</v>
      </c>
      <c r="L427" t="s">
        <v>33</v>
      </c>
      <c r="M427" s="2">
        <v>0.28999999999999998</v>
      </c>
      <c r="N427" s="2">
        <v>0.84</v>
      </c>
      <c r="O427" s="2">
        <v>49533.55</v>
      </c>
      <c r="P427" s="2">
        <v>0</v>
      </c>
      <c r="Q427">
        <f t="shared" si="24"/>
        <v>47440.476190476191</v>
      </c>
      <c r="R427">
        <f t="shared" ca="1" si="25"/>
        <v>38</v>
      </c>
      <c r="S427" s="2">
        <f t="shared" si="26"/>
        <v>9683.5500000000029</v>
      </c>
      <c r="T427" s="18">
        <v>0.1</v>
      </c>
      <c r="U427">
        <f t="shared" si="27"/>
        <v>10651.905000000004</v>
      </c>
    </row>
    <row r="428" spans="1:21" x14ac:dyDescent="0.3">
      <c r="A428" t="s">
        <v>898</v>
      </c>
      <c r="B428" s="1">
        <v>45047</v>
      </c>
      <c r="C428" t="s">
        <v>899</v>
      </c>
      <c r="D428" s="3" t="s">
        <v>56</v>
      </c>
      <c r="E428" s="2">
        <v>2925</v>
      </c>
      <c r="F428" s="2">
        <v>7.5</v>
      </c>
      <c r="G428" s="4">
        <v>60</v>
      </c>
      <c r="H428" t="s">
        <v>26</v>
      </c>
      <c r="I428" t="s">
        <v>73</v>
      </c>
      <c r="J428" t="s">
        <v>37</v>
      </c>
      <c r="K428" s="2">
        <v>148544</v>
      </c>
      <c r="L428" t="s">
        <v>22</v>
      </c>
      <c r="M428" s="2">
        <v>0.13</v>
      </c>
      <c r="N428" s="2">
        <v>0.81</v>
      </c>
      <c r="O428" s="2">
        <v>289.72000000000003</v>
      </c>
      <c r="P428" s="2">
        <v>0</v>
      </c>
      <c r="Q428">
        <f t="shared" si="24"/>
        <v>3611.1111111111109</v>
      </c>
      <c r="R428">
        <f t="shared" ca="1" si="25"/>
        <v>34</v>
      </c>
      <c r="S428" s="2">
        <f t="shared" si="26"/>
        <v>-2635.2799999999997</v>
      </c>
      <c r="T428" s="18">
        <v>0.1</v>
      </c>
      <c r="U428">
        <f t="shared" si="27"/>
        <v>-2898.808</v>
      </c>
    </row>
    <row r="429" spans="1:21" x14ac:dyDescent="0.3">
      <c r="A429" t="s">
        <v>900</v>
      </c>
      <c r="B429" s="1">
        <v>44340</v>
      </c>
      <c r="C429" t="s">
        <v>901</v>
      </c>
      <c r="D429" s="3" t="s">
        <v>46</v>
      </c>
      <c r="E429" s="2">
        <v>19440</v>
      </c>
      <c r="F429" s="2">
        <v>19.2</v>
      </c>
      <c r="G429" s="4">
        <v>36</v>
      </c>
      <c r="H429" t="s">
        <v>19</v>
      </c>
      <c r="I429" t="s">
        <v>36</v>
      </c>
      <c r="J429" t="s">
        <v>47</v>
      </c>
      <c r="K429" s="2">
        <v>65903</v>
      </c>
      <c r="L429" t="s">
        <v>22</v>
      </c>
      <c r="M429" s="2">
        <v>0.17</v>
      </c>
      <c r="N429" s="2">
        <v>0.89</v>
      </c>
      <c r="O429" s="2">
        <v>23172.48</v>
      </c>
      <c r="P429" s="2">
        <v>0</v>
      </c>
      <c r="Q429">
        <f t="shared" si="24"/>
        <v>21842.696629213482</v>
      </c>
      <c r="R429">
        <f t="shared" ca="1" si="25"/>
        <v>57</v>
      </c>
      <c r="S429" s="2">
        <f t="shared" si="26"/>
        <v>3732.4799999999996</v>
      </c>
      <c r="T429" s="18">
        <v>0.1</v>
      </c>
      <c r="U429">
        <f t="shared" si="27"/>
        <v>4105.7280000000001</v>
      </c>
    </row>
    <row r="430" spans="1:21" x14ac:dyDescent="0.3">
      <c r="A430" t="s">
        <v>902</v>
      </c>
      <c r="B430" s="1">
        <v>45081</v>
      </c>
      <c r="C430" t="s">
        <v>903</v>
      </c>
      <c r="D430" s="3" t="s">
        <v>40</v>
      </c>
      <c r="E430" s="2">
        <v>27015</v>
      </c>
      <c r="F430" s="2">
        <v>24.5</v>
      </c>
      <c r="G430" s="4">
        <v>36</v>
      </c>
      <c r="H430" t="s">
        <v>19</v>
      </c>
      <c r="I430" t="s">
        <v>36</v>
      </c>
      <c r="J430" t="s">
        <v>32</v>
      </c>
      <c r="K430" s="2">
        <v>102489</v>
      </c>
      <c r="L430" t="s">
        <v>33</v>
      </c>
      <c r="M430" s="2">
        <v>0.12</v>
      </c>
      <c r="N430" s="2">
        <v>0.95</v>
      </c>
      <c r="O430" s="2">
        <v>33633.68</v>
      </c>
      <c r="P430" s="2">
        <v>0</v>
      </c>
      <c r="Q430">
        <f t="shared" si="24"/>
        <v>28436.84210526316</v>
      </c>
      <c r="R430">
        <f t="shared" ca="1" si="25"/>
        <v>33</v>
      </c>
      <c r="S430" s="2">
        <f t="shared" si="26"/>
        <v>6618.68</v>
      </c>
      <c r="T430" s="18">
        <v>0.1</v>
      </c>
      <c r="U430">
        <f t="shared" si="27"/>
        <v>7280.5480000000007</v>
      </c>
    </row>
    <row r="431" spans="1:21" x14ac:dyDescent="0.3">
      <c r="A431" t="s">
        <v>904</v>
      </c>
      <c r="B431" s="1">
        <v>45289</v>
      </c>
      <c r="C431" t="s">
        <v>905</v>
      </c>
      <c r="D431" s="3" t="s">
        <v>25</v>
      </c>
      <c r="E431" s="2">
        <v>34320</v>
      </c>
      <c r="F431" s="2">
        <v>21.5</v>
      </c>
      <c r="G431" s="4">
        <v>60</v>
      </c>
      <c r="H431" t="s">
        <v>81</v>
      </c>
      <c r="I431" t="s">
        <v>20</v>
      </c>
      <c r="J431" t="s">
        <v>47</v>
      </c>
      <c r="K431" s="2">
        <v>62093</v>
      </c>
      <c r="L431" t="s">
        <v>33</v>
      </c>
      <c r="M431" s="2">
        <v>0.3</v>
      </c>
      <c r="N431" s="2">
        <v>0.69</v>
      </c>
      <c r="O431" s="2">
        <v>4545.24</v>
      </c>
      <c r="P431" s="2">
        <v>12356.63</v>
      </c>
      <c r="Q431">
        <f t="shared" si="24"/>
        <v>49739.130434782615</v>
      </c>
      <c r="R431">
        <f t="shared" ca="1" si="25"/>
        <v>26</v>
      </c>
      <c r="S431" s="2">
        <f t="shared" si="26"/>
        <v>-17418.13</v>
      </c>
      <c r="T431" s="18">
        <v>0.1</v>
      </c>
      <c r="U431">
        <f t="shared" si="27"/>
        <v>-19159.943000000003</v>
      </c>
    </row>
    <row r="432" spans="1:21" x14ac:dyDescent="0.3">
      <c r="A432" t="s">
        <v>906</v>
      </c>
      <c r="B432" s="1">
        <v>44592</v>
      </c>
      <c r="C432" t="s">
        <v>907</v>
      </c>
      <c r="D432" s="3" t="s">
        <v>56</v>
      </c>
      <c r="E432" s="2">
        <v>26291</v>
      </c>
      <c r="F432" s="2">
        <v>19</v>
      </c>
      <c r="G432" s="4">
        <v>36</v>
      </c>
      <c r="H432" t="s">
        <v>19</v>
      </c>
      <c r="I432" t="s">
        <v>27</v>
      </c>
      <c r="J432" t="s">
        <v>21</v>
      </c>
      <c r="K432" s="2">
        <v>121036</v>
      </c>
      <c r="L432" t="s">
        <v>22</v>
      </c>
      <c r="M432" s="2">
        <v>0.14000000000000001</v>
      </c>
      <c r="N432" s="2">
        <v>0.55000000000000004</v>
      </c>
      <c r="O432" s="2">
        <v>31286.29</v>
      </c>
      <c r="P432" s="2">
        <v>0</v>
      </c>
      <c r="Q432">
        <f t="shared" si="24"/>
        <v>47801.818181818177</v>
      </c>
      <c r="R432">
        <f t="shared" ca="1" si="25"/>
        <v>49</v>
      </c>
      <c r="S432" s="2">
        <f t="shared" si="26"/>
        <v>4995.2900000000009</v>
      </c>
      <c r="T432" s="18">
        <v>0.1</v>
      </c>
      <c r="U432">
        <f t="shared" si="27"/>
        <v>5494.8190000000013</v>
      </c>
    </row>
    <row r="433" spans="1:21" x14ac:dyDescent="0.3">
      <c r="A433" t="s">
        <v>908</v>
      </c>
      <c r="B433" s="1">
        <v>45245</v>
      </c>
      <c r="C433" t="s">
        <v>909</v>
      </c>
      <c r="D433" s="3" t="s">
        <v>72</v>
      </c>
      <c r="E433" s="2">
        <v>37679</v>
      </c>
      <c r="F433" s="2">
        <v>21.8</v>
      </c>
      <c r="G433" s="4">
        <v>60</v>
      </c>
      <c r="H433" t="s">
        <v>26</v>
      </c>
      <c r="I433" t="s">
        <v>84</v>
      </c>
      <c r="J433" t="s">
        <v>37</v>
      </c>
      <c r="K433" s="2">
        <v>117954</v>
      </c>
      <c r="L433" t="s">
        <v>33</v>
      </c>
      <c r="M433" s="2">
        <v>0.15</v>
      </c>
      <c r="N433" s="2">
        <v>0.51</v>
      </c>
      <c r="O433" s="2">
        <v>9138.7099999999991</v>
      </c>
      <c r="P433" s="2">
        <v>0</v>
      </c>
      <c r="Q433">
        <f t="shared" si="24"/>
        <v>73880.392156862741</v>
      </c>
      <c r="R433">
        <f t="shared" ca="1" si="25"/>
        <v>28</v>
      </c>
      <c r="S433" s="2">
        <f t="shared" si="26"/>
        <v>-28540.29</v>
      </c>
      <c r="T433" s="18">
        <v>0.1</v>
      </c>
      <c r="U433">
        <f t="shared" si="27"/>
        <v>-31394.319000000003</v>
      </c>
    </row>
    <row r="434" spans="1:21" x14ac:dyDescent="0.3">
      <c r="A434" t="s">
        <v>910</v>
      </c>
      <c r="B434" s="1">
        <v>45144</v>
      </c>
      <c r="C434" t="s">
        <v>911</v>
      </c>
      <c r="D434" s="3" t="s">
        <v>76</v>
      </c>
      <c r="E434" s="2">
        <v>27289</v>
      </c>
      <c r="F434" s="2">
        <v>24.6</v>
      </c>
      <c r="G434" s="4">
        <v>36</v>
      </c>
      <c r="H434" t="s">
        <v>26</v>
      </c>
      <c r="I434" t="s">
        <v>57</v>
      </c>
      <c r="J434" t="s">
        <v>47</v>
      </c>
      <c r="K434" s="2">
        <v>149277</v>
      </c>
      <c r="L434" t="s">
        <v>22</v>
      </c>
      <c r="M434" s="2">
        <v>0.48</v>
      </c>
      <c r="N434" s="2">
        <v>0.83</v>
      </c>
      <c r="O434" s="2">
        <v>2575.9699999999998</v>
      </c>
      <c r="P434" s="2">
        <v>0</v>
      </c>
      <c r="Q434">
        <f t="shared" si="24"/>
        <v>32878.313253012049</v>
      </c>
      <c r="R434">
        <f t="shared" ca="1" si="25"/>
        <v>31</v>
      </c>
      <c r="S434" s="2">
        <f t="shared" si="26"/>
        <v>-24713.03</v>
      </c>
      <c r="T434" s="18">
        <v>0.1</v>
      </c>
      <c r="U434">
        <f t="shared" si="27"/>
        <v>-27184.333000000002</v>
      </c>
    </row>
    <row r="435" spans="1:21" x14ac:dyDescent="0.3">
      <c r="A435" t="s">
        <v>912</v>
      </c>
      <c r="B435" s="1">
        <v>45087</v>
      </c>
      <c r="C435" t="s">
        <v>913</v>
      </c>
      <c r="D435" s="3" t="s">
        <v>18</v>
      </c>
      <c r="E435" s="2">
        <v>4389</v>
      </c>
      <c r="F435" s="2">
        <v>17.399999999999999</v>
      </c>
      <c r="G435" s="4">
        <v>60</v>
      </c>
      <c r="H435" t="s">
        <v>26</v>
      </c>
      <c r="I435" t="s">
        <v>73</v>
      </c>
      <c r="J435" t="s">
        <v>37</v>
      </c>
      <c r="K435" s="2">
        <v>64314</v>
      </c>
      <c r="L435" t="s">
        <v>33</v>
      </c>
      <c r="M435" s="2">
        <v>0.45</v>
      </c>
      <c r="N435" s="2">
        <v>0.89</v>
      </c>
      <c r="O435" s="2">
        <v>1442.19</v>
      </c>
      <c r="P435" s="2">
        <v>0</v>
      </c>
      <c r="Q435">
        <f t="shared" si="24"/>
        <v>4931.4606741573034</v>
      </c>
      <c r="R435">
        <f t="shared" ca="1" si="25"/>
        <v>33</v>
      </c>
      <c r="S435" s="2">
        <f t="shared" si="26"/>
        <v>-2946.81</v>
      </c>
      <c r="T435" s="18">
        <v>0.1</v>
      </c>
      <c r="U435">
        <f t="shared" si="27"/>
        <v>-3241.491</v>
      </c>
    </row>
    <row r="436" spans="1:21" x14ac:dyDescent="0.3">
      <c r="A436" t="s">
        <v>914</v>
      </c>
      <c r="B436" s="1">
        <v>44765</v>
      </c>
      <c r="C436" t="s">
        <v>915</v>
      </c>
      <c r="D436" s="3" t="s">
        <v>56</v>
      </c>
      <c r="E436" s="2">
        <v>26683</v>
      </c>
      <c r="F436" s="2">
        <v>16.2</v>
      </c>
      <c r="G436" s="4">
        <v>60</v>
      </c>
      <c r="H436" t="s">
        <v>19</v>
      </c>
      <c r="I436" t="s">
        <v>27</v>
      </c>
      <c r="J436" t="s">
        <v>21</v>
      </c>
      <c r="K436" s="2">
        <v>78225</v>
      </c>
      <c r="L436" t="s">
        <v>22</v>
      </c>
      <c r="M436" s="2">
        <v>0.28000000000000003</v>
      </c>
      <c r="N436" s="2">
        <v>0.6</v>
      </c>
      <c r="O436" s="2">
        <v>31005.65</v>
      </c>
      <c r="P436" s="2">
        <v>0</v>
      </c>
      <c r="Q436">
        <f t="shared" si="24"/>
        <v>44471.666666666672</v>
      </c>
      <c r="R436">
        <f t="shared" ca="1" si="25"/>
        <v>43</v>
      </c>
      <c r="S436" s="2">
        <f t="shared" si="26"/>
        <v>4322.6500000000015</v>
      </c>
      <c r="T436" s="18">
        <v>0.1</v>
      </c>
      <c r="U436">
        <f t="shared" si="27"/>
        <v>4754.9150000000018</v>
      </c>
    </row>
    <row r="437" spans="1:21" x14ac:dyDescent="0.3">
      <c r="A437" t="s">
        <v>916</v>
      </c>
      <c r="B437" s="1">
        <v>45259</v>
      </c>
      <c r="C437" t="s">
        <v>917</v>
      </c>
      <c r="D437" s="3" t="s">
        <v>72</v>
      </c>
      <c r="E437" s="2">
        <v>14629</v>
      </c>
      <c r="F437" s="2">
        <v>17.600000000000001</v>
      </c>
      <c r="G437" s="4">
        <v>36</v>
      </c>
      <c r="H437" t="s">
        <v>19</v>
      </c>
      <c r="I437" t="s">
        <v>57</v>
      </c>
      <c r="J437" t="s">
        <v>47</v>
      </c>
      <c r="K437" s="2">
        <v>117985</v>
      </c>
      <c r="L437" t="s">
        <v>29</v>
      </c>
      <c r="M437" s="2">
        <v>0.49</v>
      </c>
      <c r="N437" s="2">
        <v>0.56999999999999995</v>
      </c>
      <c r="O437" s="2">
        <v>17203.7</v>
      </c>
      <c r="P437" s="2">
        <v>0</v>
      </c>
      <c r="Q437">
        <f t="shared" si="24"/>
        <v>25664.912280701756</v>
      </c>
      <c r="R437">
        <f t="shared" ca="1" si="25"/>
        <v>27</v>
      </c>
      <c r="S437" s="2">
        <f t="shared" si="26"/>
        <v>2574.7000000000007</v>
      </c>
      <c r="T437" s="18">
        <v>0.1</v>
      </c>
      <c r="U437">
        <f t="shared" si="27"/>
        <v>2832.170000000001</v>
      </c>
    </row>
    <row r="438" spans="1:21" x14ac:dyDescent="0.3">
      <c r="A438" t="s">
        <v>918</v>
      </c>
      <c r="B438" s="1">
        <v>44305</v>
      </c>
      <c r="C438" t="s">
        <v>919</v>
      </c>
      <c r="D438" s="3" t="s">
        <v>53</v>
      </c>
      <c r="E438" s="2">
        <v>25826</v>
      </c>
      <c r="F438" s="2">
        <v>15.7</v>
      </c>
      <c r="G438" s="4">
        <v>60</v>
      </c>
      <c r="H438" t="s">
        <v>26</v>
      </c>
      <c r="I438" t="s">
        <v>20</v>
      </c>
      <c r="J438" t="s">
        <v>47</v>
      </c>
      <c r="K438" s="2">
        <v>113014</v>
      </c>
      <c r="L438" t="s">
        <v>29</v>
      </c>
      <c r="M438" s="2">
        <v>0.1</v>
      </c>
      <c r="N438" s="2">
        <v>0.53</v>
      </c>
      <c r="O438" s="2">
        <v>2961.24</v>
      </c>
      <c r="P438" s="2">
        <v>0</v>
      </c>
      <c r="Q438">
        <f t="shared" si="24"/>
        <v>48728.301886792447</v>
      </c>
      <c r="R438">
        <f t="shared" ca="1" si="25"/>
        <v>59</v>
      </c>
      <c r="S438" s="2">
        <f t="shared" si="26"/>
        <v>-22864.760000000002</v>
      </c>
      <c r="T438" s="18">
        <v>0.1</v>
      </c>
      <c r="U438">
        <f t="shared" si="27"/>
        <v>-25151.236000000004</v>
      </c>
    </row>
    <row r="439" spans="1:21" x14ac:dyDescent="0.3">
      <c r="A439" t="s">
        <v>920</v>
      </c>
      <c r="B439" s="1">
        <v>45262</v>
      </c>
      <c r="C439" t="s">
        <v>921</v>
      </c>
      <c r="D439" s="3" t="s">
        <v>50</v>
      </c>
      <c r="E439" s="2">
        <v>36198</v>
      </c>
      <c r="F439" s="2">
        <v>17.7</v>
      </c>
      <c r="G439" s="4">
        <v>60</v>
      </c>
      <c r="H439" t="s">
        <v>19</v>
      </c>
      <c r="I439" t="s">
        <v>27</v>
      </c>
      <c r="J439" t="s">
        <v>21</v>
      </c>
      <c r="K439" s="2">
        <v>65179</v>
      </c>
      <c r="L439" t="s">
        <v>22</v>
      </c>
      <c r="M439" s="2">
        <v>0.35</v>
      </c>
      <c r="N439" s="2">
        <v>0.87</v>
      </c>
      <c r="O439" s="2">
        <v>42605.05</v>
      </c>
      <c r="P439" s="2">
        <v>0</v>
      </c>
      <c r="Q439">
        <f t="shared" si="24"/>
        <v>41606.896551724138</v>
      </c>
      <c r="R439">
        <f t="shared" ca="1" si="25"/>
        <v>27</v>
      </c>
      <c r="S439" s="2">
        <f t="shared" si="26"/>
        <v>6407.0500000000029</v>
      </c>
      <c r="T439" s="18">
        <v>0.1</v>
      </c>
      <c r="U439">
        <f t="shared" si="27"/>
        <v>7047.7550000000037</v>
      </c>
    </row>
    <row r="440" spans="1:21" x14ac:dyDescent="0.3">
      <c r="A440" t="s">
        <v>922</v>
      </c>
      <c r="B440" s="1">
        <v>45131</v>
      </c>
      <c r="C440" t="s">
        <v>923</v>
      </c>
      <c r="D440" s="3" t="s">
        <v>50</v>
      </c>
      <c r="E440" s="2">
        <v>27630</v>
      </c>
      <c r="F440" s="2">
        <v>14</v>
      </c>
      <c r="G440" s="4">
        <v>60</v>
      </c>
      <c r="H440" t="s">
        <v>19</v>
      </c>
      <c r="I440" t="s">
        <v>36</v>
      </c>
      <c r="J440" t="s">
        <v>21</v>
      </c>
      <c r="K440" s="2">
        <v>147305</v>
      </c>
      <c r="L440" t="s">
        <v>29</v>
      </c>
      <c r="M440" s="2">
        <v>0.35</v>
      </c>
      <c r="N440" s="2">
        <v>0.64</v>
      </c>
      <c r="O440" s="2">
        <v>31498.2</v>
      </c>
      <c r="P440" s="2">
        <v>0</v>
      </c>
      <c r="Q440">
        <f t="shared" si="24"/>
        <v>43171.875</v>
      </c>
      <c r="R440">
        <f t="shared" ca="1" si="25"/>
        <v>31</v>
      </c>
      <c r="S440" s="2">
        <f t="shared" si="26"/>
        <v>3868.2000000000007</v>
      </c>
      <c r="T440" s="18">
        <v>0.1</v>
      </c>
      <c r="U440">
        <f t="shared" si="27"/>
        <v>4255.0200000000013</v>
      </c>
    </row>
    <row r="441" spans="1:21" x14ac:dyDescent="0.3">
      <c r="A441" t="s">
        <v>924</v>
      </c>
      <c r="B441" s="1">
        <v>44594</v>
      </c>
      <c r="C441" t="s">
        <v>925</v>
      </c>
      <c r="D441" s="3" t="s">
        <v>40</v>
      </c>
      <c r="E441" s="2">
        <v>34226</v>
      </c>
      <c r="F441" s="2">
        <v>9.4</v>
      </c>
      <c r="G441" s="4">
        <v>36</v>
      </c>
      <c r="H441" t="s">
        <v>19</v>
      </c>
      <c r="I441" t="s">
        <v>27</v>
      </c>
      <c r="J441" t="s">
        <v>21</v>
      </c>
      <c r="K441" s="2">
        <v>142417</v>
      </c>
      <c r="L441" t="s">
        <v>33</v>
      </c>
      <c r="M441" s="2">
        <v>0.28000000000000003</v>
      </c>
      <c r="N441" s="2">
        <v>0.68</v>
      </c>
      <c r="O441" s="2">
        <v>37443.24</v>
      </c>
      <c r="P441" s="2">
        <v>0</v>
      </c>
      <c r="Q441">
        <f t="shared" si="24"/>
        <v>50332.352941176468</v>
      </c>
      <c r="R441">
        <f t="shared" ca="1" si="25"/>
        <v>49</v>
      </c>
      <c r="S441" s="2">
        <f t="shared" si="26"/>
        <v>3217.239999999998</v>
      </c>
      <c r="T441" s="18">
        <v>0.1</v>
      </c>
      <c r="U441">
        <f t="shared" si="27"/>
        <v>3538.9639999999981</v>
      </c>
    </row>
    <row r="442" spans="1:21" x14ac:dyDescent="0.3">
      <c r="A442" t="s">
        <v>926</v>
      </c>
      <c r="B442" s="1">
        <v>44830</v>
      </c>
      <c r="C442" t="s">
        <v>927</v>
      </c>
      <c r="D442" s="3" t="s">
        <v>40</v>
      </c>
      <c r="E442" s="2">
        <v>33975</v>
      </c>
      <c r="F442" s="2">
        <v>7.4</v>
      </c>
      <c r="G442" s="4">
        <v>36</v>
      </c>
      <c r="H442" t="s">
        <v>19</v>
      </c>
      <c r="I442" t="s">
        <v>27</v>
      </c>
      <c r="J442" t="s">
        <v>37</v>
      </c>
      <c r="K442" s="2">
        <v>55338</v>
      </c>
      <c r="L442" t="s">
        <v>22</v>
      </c>
      <c r="M442" s="2">
        <v>0.26</v>
      </c>
      <c r="N442" s="2">
        <v>0.73</v>
      </c>
      <c r="O442" s="2">
        <v>36489.15</v>
      </c>
      <c r="P442" s="2">
        <v>0</v>
      </c>
      <c r="Q442">
        <f t="shared" si="24"/>
        <v>46541.095890410958</v>
      </c>
      <c r="R442">
        <f t="shared" ca="1" si="25"/>
        <v>41</v>
      </c>
      <c r="S442" s="2">
        <f t="shared" si="26"/>
        <v>2514.1500000000015</v>
      </c>
      <c r="T442" s="18">
        <v>0.1</v>
      </c>
      <c r="U442">
        <f t="shared" si="27"/>
        <v>2765.5650000000019</v>
      </c>
    </row>
    <row r="443" spans="1:21" x14ac:dyDescent="0.3">
      <c r="A443" t="s">
        <v>928</v>
      </c>
      <c r="B443" s="1">
        <v>44929</v>
      </c>
      <c r="C443" t="s">
        <v>929</v>
      </c>
      <c r="D443" s="3" t="s">
        <v>56</v>
      </c>
      <c r="E443" s="2">
        <v>1899</v>
      </c>
      <c r="F443" s="2">
        <v>6.4</v>
      </c>
      <c r="G443" s="4">
        <v>36</v>
      </c>
      <c r="H443" t="s">
        <v>81</v>
      </c>
      <c r="I443" t="s">
        <v>57</v>
      </c>
      <c r="J443" t="s">
        <v>21</v>
      </c>
      <c r="K443" s="2">
        <v>122435</v>
      </c>
      <c r="L443" t="s">
        <v>22</v>
      </c>
      <c r="M443" s="2">
        <v>0.28000000000000003</v>
      </c>
      <c r="N443" s="2">
        <v>0.88</v>
      </c>
      <c r="O443" s="2">
        <v>487.5</v>
      </c>
      <c r="P443" s="2">
        <v>737.8</v>
      </c>
      <c r="Q443">
        <f t="shared" si="24"/>
        <v>2157.9545454545455</v>
      </c>
      <c r="R443">
        <f t="shared" ca="1" si="25"/>
        <v>38</v>
      </c>
      <c r="S443" s="2">
        <f t="shared" si="26"/>
        <v>-673.7</v>
      </c>
      <c r="T443" s="18">
        <v>0.1</v>
      </c>
      <c r="U443">
        <f t="shared" si="27"/>
        <v>-741.07000000000016</v>
      </c>
    </row>
    <row r="444" spans="1:21" x14ac:dyDescent="0.3">
      <c r="A444" t="s">
        <v>930</v>
      </c>
      <c r="B444" s="1">
        <v>44431</v>
      </c>
      <c r="C444" t="s">
        <v>931</v>
      </c>
      <c r="D444" s="3" t="s">
        <v>56</v>
      </c>
      <c r="E444" s="2">
        <v>12653</v>
      </c>
      <c r="F444" s="2">
        <v>10.3</v>
      </c>
      <c r="G444" s="4">
        <v>60</v>
      </c>
      <c r="H444" t="s">
        <v>19</v>
      </c>
      <c r="I444" t="s">
        <v>20</v>
      </c>
      <c r="J444" t="s">
        <v>37</v>
      </c>
      <c r="K444" s="2">
        <v>99681</v>
      </c>
      <c r="L444" t="s">
        <v>33</v>
      </c>
      <c r="M444" s="2">
        <v>0.27</v>
      </c>
      <c r="N444" s="2">
        <v>0.79</v>
      </c>
      <c r="O444" s="2">
        <v>13956.26</v>
      </c>
      <c r="P444" s="2">
        <v>0</v>
      </c>
      <c r="Q444">
        <f t="shared" si="24"/>
        <v>16016.455696202531</v>
      </c>
      <c r="R444">
        <f t="shared" ca="1" si="25"/>
        <v>54</v>
      </c>
      <c r="S444" s="2">
        <f t="shared" si="26"/>
        <v>1303.2600000000002</v>
      </c>
      <c r="T444" s="18">
        <v>0.1</v>
      </c>
      <c r="U444">
        <f t="shared" si="27"/>
        <v>1433.5860000000005</v>
      </c>
    </row>
    <row r="445" spans="1:21" x14ac:dyDescent="0.3">
      <c r="A445" t="s">
        <v>932</v>
      </c>
      <c r="B445" s="1">
        <v>44854</v>
      </c>
      <c r="C445" t="s">
        <v>933</v>
      </c>
      <c r="D445" s="3" t="s">
        <v>46</v>
      </c>
      <c r="E445" s="2">
        <v>28961</v>
      </c>
      <c r="F445" s="2">
        <v>5.9</v>
      </c>
      <c r="G445" s="4">
        <v>36</v>
      </c>
      <c r="H445" t="s">
        <v>26</v>
      </c>
      <c r="I445" t="s">
        <v>27</v>
      </c>
      <c r="J445" t="s">
        <v>32</v>
      </c>
      <c r="K445" s="2">
        <v>62101</v>
      </c>
      <c r="L445" t="s">
        <v>33</v>
      </c>
      <c r="M445" s="2">
        <v>0.39</v>
      </c>
      <c r="N445" s="2">
        <v>0.78</v>
      </c>
      <c r="O445" s="2">
        <v>1542.14</v>
      </c>
      <c r="P445" s="2">
        <v>0</v>
      </c>
      <c r="Q445">
        <f t="shared" si="24"/>
        <v>37129.48717948718</v>
      </c>
      <c r="R445">
        <f t="shared" ca="1" si="25"/>
        <v>40</v>
      </c>
      <c r="S445" s="2">
        <f t="shared" si="26"/>
        <v>-27418.86</v>
      </c>
      <c r="T445" s="18">
        <v>0.1</v>
      </c>
      <c r="U445">
        <f t="shared" si="27"/>
        <v>-30160.746000000003</v>
      </c>
    </row>
    <row r="446" spans="1:21" x14ac:dyDescent="0.3">
      <c r="A446" t="s">
        <v>934</v>
      </c>
      <c r="B446" s="1">
        <v>44947</v>
      </c>
      <c r="C446" t="s">
        <v>935</v>
      </c>
      <c r="D446" s="3" t="s">
        <v>76</v>
      </c>
      <c r="E446" s="2">
        <v>17405</v>
      </c>
      <c r="F446" s="2">
        <v>16.3</v>
      </c>
      <c r="G446" s="4">
        <v>60</v>
      </c>
      <c r="H446" t="s">
        <v>19</v>
      </c>
      <c r="I446" t="s">
        <v>57</v>
      </c>
      <c r="J446" t="s">
        <v>47</v>
      </c>
      <c r="K446" s="2">
        <v>32775</v>
      </c>
      <c r="L446" t="s">
        <v>22</v>
      </c>
      <c r="M446" s="2">
        <v>0.15</v>
      </c>
      <c r="N446" s="2">
        <v>0.57999999999999996</v>
      </c>
      <c r="O446" s="2">
        <v>20242.02</v>
      </c>
      <c r="P446" s="2">
        <v>0</v>
      </c>
      <c r="Q446">
        <f t="shared" si="24"/>
        <v>30008.620689655174</v>
      </c>
      <c r="R446">
        <f t="shared" ca="1" si="25"/>
        <v>37</v>
      </c>
      <c r="S446" s="2">
        <f t="shared" si="26"/>
        <v>2837.0200000000004</v>
      </c>
      <c r="T446" s="18">
        <v>0.1</v>
      </c>
      <c r="U446">
        <f t="shared" si="27"/>
        <v>3120.7220000000007</v>
      </c>
    </row>
    <row r="447" spans="1:21" x14ac:dyDescent="0.3">
      <c r="A447" t="s">
        <v>936</v>
      </c>
      <c r="B447" s="1">
        <v>44784</v>
      </c>
      <c r="C447" t="s">
        <v>937</v>
      </c>
      <c r="D447" s="3" t="s">
        <v>65</v>
      </c>
      <c r="E447" s="2">
        <v>9601</v>
      </c>
      <c r="F447" s="2">
        <v>10.7</v>
      </c>
      <c r="G447" s="4">
        <v>60</v>
      </c>
      <c r="H447" t="s">
        <v>19</v>
      </c>
      <c r="I447" t="s">
        <v>84</v>
      </c>
      <c r="J447" t="s">
        <v>47</v>
      </c>
      <c r="K447" s="2">
        <v>141497</v>
      </c>
      <c r="L447" t="s">
        <v>33</v>
      </c>
      <c r="M447" s="2">
        <v>0.18</v>
      </c>
      <c r="N447" s="2">
        <v>0.73</v>
      </c>
      <c r="O447" s="2">
        <v>10628.31</v>
      </c>
      <c r="P447" s="2">
        <v>0</v>
      </c>
      <c r="Q447">
        <f t="shared" si="24"/>
        <v>13152.054794520549</v>
      </c>
      <c r="R447">
        <f t="shared" ca="1" si="25"/>
        <v>43</v>
      </c>
      <c r="S447" s="2">
        <f t="shared" si="26"/>
        <v>1027.3099999999995</v>
      </c>
      <c r="T447" s="18">
        <v>0.1</v>
      </c>
      <c r="U447">
        <f t="shared" si="27"/>
        <v>1130.0409999999995</v>
      </c>
    </row>
    <row r="448" spans="1:21" x14ac:dyDescent="0.3">
      <c r="A448" t="s">
        <v>938</v>
      </c>
      <c r="B448" s="1">
        <v>45229</v>
      </c>
      <c r="C448" t="s">
        <v>939</v>
      </c>
      <c r="D448" s="3" t="s">
        <v>53</v>
      </c>
      <c r="E448" s="2">
        <v>34662</v>
      </c>
      <c r="F448" s="2">
        <v>21.5</v>
      </c>
      <c r="G448" s="4">
        <v>36</v>
      </c>
      <c r="H448" t="s">
        <v>19</v>
      </c>
      <c r="I448" t="s">
        <v>20</v>
      </c>
      <c r="J448" t="s">
        <v>28</v>
      </c>
      <c r="K448" s="2">
        <v>127183</v>
      </c>
      <c r="L448" t="s">
        <v>22</v>
      </c>
      <c r="M448" s="2">
        <v>0.17</v>
      </c>
      <c r="N448" s="2">
        <v>0.82</v>
      </c>
      <c r="O448" s="2">
        <v>42114.33</v>
      </c>
      <c r="P448" s="2">
        <v>0</v>
      </c>
      <c r="Q448">
        <f t="shared" si="24"/>
        <v>42270.731707317078</v>
      </c>
      <c r="R448">
        <f t="shared" ca="1" si="25"/>
        <v>28</v>
      </c>
      <c r="S448" s="2">
        <f t="shared" si="26"/>
        <v>7452.3300000000017</v>
      </c>
      <c r="T448" s="18">
        <v>0.1</v>
      </c>
      <c r="U448">
        <f t="shared" si="27"/>
        <v>8197.5630000000019</v>
      </c>
    </row>
    <row r="449" spans="1:21" x14ac:dyDescent="0.3">
      <c r="A449" t="s">
        <v>940</v>
      </c>
      <c r="B449" s="1">
        <v>45150</v>
      </c>
      <c r="C449" t="s">
        <v>941</v>
      </c>
      <c r="D449" s="3" t="s">
        <v>40</v>
      </c>
      <c r="E449" s="2">
        <v>34282</v>
      </c>
      <c r="F449" s="2">
        <v>6.5</v>
      </c>
      <c r="G449" s="4">
        <v>36</v>
      </c>
      <c r="H449" t="s">
        <v>19</v>
      </c>
      <c r="I449" t="s">
        <v>57</v>
      </c>
      <c r="J449" t="s">
        <v>32</v>
      </c>
      <c r="K449" s="2">
        <v>75619</v>
      </c>
      <c r="L449" t="s">
        <v>33</v>
      </c>
      <c r="M449" s="2">
        <v>0.2</v>
      </c>
      <c r="N449" s="2">
        <v>0.94</v>
      </c>
      <c r="O449" s="2">
        <v>36510.33</v>
      </c>
      <c r="P449" s="2">
        <v>0</v>
      </c>
      <c r="Q449">
        <f t="shared" si="24"/>
        <v>36470.212765957447</v>
      </c>
      <c r="R449">
        <f t="shared" ca="1" si="25"/>
        <v>31</v>
      </c>
      <c r="S449" s="2">
        <f t="shared" si="26"/>
        <v>2228.3300000000017</v>
      </c>
      <c r="T449" s="18">
        <v>0.1</v>
      </c>
      <c r="U449">
        <f t="shared" si="27"/>
        <v>2451.1630000000023</v>
      </c>
    </row>
    <row r="450" spans="1:21" x14ac:dyDescent="0.3">
      <c r="A450" t="s">
        <v>942</v>
      </c>
      <c r="B450" s="1">
        <v>44688</v>
      </c>
      <c r="C450" t="s">
        <v>943</v>
      </c>
      <c r="D450" s="3" t="s">
        <v>65</v>
      </c>
      <c r="E450" s="2">
        <v>22288</v>
      </c>
      <c r="F450" s="2">
        <v>9.5</v>
      </c>
      <c r="G450" s="4">
        <v>60</v>
      </c>
      <c r="H450" t="s">
        <v>19</v>
      </c>
      <c r="I450" t="s">
        <v>57</v>
      </c>
      <c r="J450" t="s">
        <v>21</v>
      </c>
      <c r="K450" s="2">
        <v>75838</v>
      </c>
      <c r="L450" t="s">
        <v>22</v>
      </c>
      <c r="M450" s="2">
        <v>0.31</v>
      </c>
      <c r="N450" s="2">
        <v>0.59</v>
      </c>
      <c r="O450" s="2">
        <v>24405.360000000001</v>
      </c>
      <c r="P450" s="2">
        <v>0</v>
      </c>
      <c r="Q450">
        <f t="shared" si="24"/>
        <v>37776.271186440681</v>
      </c>
      <c r="R450">
        <f t="shared" ca="1" si="25"/>
        <v>46</v>
      </c>
      <c r="S450" s="2">
        <f t="shared" si="26"/>
        <v>2117.3600000000006</v>
      </c>
      <c r="T450" s="18">
        <v>0.1</v>
      </c>
      <c r="U450">
        <f t="shared" si="27"/>
        <v>2329.0960000000009</v>
      </c>
    </row>
    <row r="451" spans="1:21" x14ac:dyDescent="0.3">
      <c r="A451" t="s">
        <v>944</v>
      </c>
      <c r="B451" s="1">
        <v>45109</v>
      </c>
      <c r="C451" t="s">
        <v>945</v>
      </c>
      <c r="D451" s="3" t="s">
        <v>65</v>
      </c>
      <c r="E451" s="2">
        <v>30545</v>
      </c>
      <c r="F451" s="2">
        <v>19.600000000000001</v>
      </c>
      <c r="G451" s="4">
        <v>60</v>
      </c>
      <c r="H451" t="s">
        <v>26</v>
      </c>
      <c r="I451" t="s">
        <v>36</v>
      </c>
      <c r="J451" t="s">
        <v>21</v>
      </c>
      <c r="K451" s="2">
        <v>49539</v>
      </c>
      <c r="L451" t="s">
        <v>33</v>
      </c>
      <c r="M451" s="2">
        <v>0.14000000000000001</v>
      </c>
      <c r="N451" s="2">
        <v>0.5</v>
      </c>
      <c r="O451" s="2">
        <v>5878.95</v>
      </c>
      <c r="P451" s="2">
        <v>0</v>
      </c>
      <c r="Q451">
        <f t="shared" ref="Q451:Q514" si="28">E451/N451</f>
        <v>61090</v>
      </c>
      <c r="R451">
        <f t="shared" ref="R451:R514" ca="1" si="29">DATEDIF(B451, TODAY(), "M")</f>
        <v>32</v>
      </c>
      <c r="S451" s="2">
        <f t="shared" ref="S451:S514" si="30">(O451+P451)-E451</f>
        <v>-24666.05</v>
      </c>
      <c r="T451" s="18">
        <v>0.1</v>
      </c>
      <c r="U451">
        <f t="shared" ref="U451:U514" si="31">S451*(1+T451)</f>
        <v>-27132.655000000002</v>
      </c>
    </row>
    <row r="452" spans="1:21" x14ac:dyDescent="0.3">
      <c r="A452" t="s">
        <v>946</v>
      </c>
      <c r="B452" s="1">
        <v>44366</v>
      </c>
      <c r="C452" t="s">
        <v>947</v>
      </c>
      <c r="D452" s="3" t="s">
        <v>76</v>
      </c>
      <c r="E452" s="2">
        <v>37877</v>
      </c>
      <c r="F452" s="2">
        <v>17</v>
      </c>
      <c r="G452" s="4">
        <v>36</v>
      </c>
      <c r="H452" t="s">
        <v>19</v>
      </c>
      <c r="I452" t="s">
        <v>20</v>
      </c>
      <c r="J452" t="s">
        <v>32</v>
      </c>
      <c r="K452" s="2">
        <v>132274</v>
      </c>
      <c r="L452" t="s">
        <v>33</v>
      </c>
      <c r="M452" s="2">
        <v>0.45</v>
      </c>
      <c r="N452" s="2">
        <v>0.53</v>
      </c>
      <c r="O452" s="2">
        <v>44316.09</v>
      </c>
      <c r="P452" s="2">
        <v>0</v>
      </c>
      <c r="Q452">
        <f t="shared" si="28"/>
        <v>71466.037735849051</v>
      </c>
      <c r="R452">
        <f t="shared" ca="1" si="29"/>
        <v>57</v>
      </c>
      <c r="S452" s="2">
        <f t="shared" si="30"/>
        <v>6439.0899999999965</v>
      </c>
      <c r="T452" s="18">
        <v>0.1</v>
      </c>
      <c r="U452">
        <f t="shared" si="31"/>
        <v>7082.9989999999971</v>
      </c>
    </row>
    <row r="453" spans="1:21" x14ac:dyDescent="0.3">
      <c r="A453" t="s">
        <v>948</v>
      </c>
      <c r="B453" s="1">
        <v>45142</v>
      </c>
      <c r="C453" t="s">
        <v>949</v>
      </c>
      <c r="D453" s="3" t="s">
        <v>25</v>
      </c>
      <c r="E453" s="2">
        <v>16313</v>
      </c>
      <c r="F453" s="2">
        <v>6.3</v>
      </c>
      <c r="G453" s="4">
        <v>36</v>
      </c>
      <c r="H453" t="s">
        <v>19</v>
      </c>
      <c r="I453" t="s">
        <v>20</v>
      </c>
      <c r="J453" t="s">
        <v>21</v>
      </c>
      <c r="K453" s="2">
        <v>87124</v>
      </c>
      <c r="L453" t="s">
        <v>29</v>
      </c>
      <c r="M453" s="2">
        <v>0.22</v>
      </c>
      <c r="N453" s="2">
        <v>0.67</v>
      </c>
      <c r="O453" s="2">
        <v>17340.72</v>
      </c>
      <c r="P453" s="2">
        <v>0</v>
      </c>
      <c r="Q453">
        <f t="shared" si="28"/>
        <v>24347.761194029848</v>
      </c>
      <c r="R453">
        <f t="shared" ca="1" si="29"/>
        <v>31</v>
      </c>
      <c r="S453" s="2">
        <f t="shared" si="30"/>
        <v>1027.7200000000012</v>
      </c>
      <c r="T453" s="18">
        <v>0.1</v>
      </c>
      <c r="U453">
        <f t="shared" si="31"/>
        <v>1130.4920000000013</v>
      </c>
    </row>
    <row r="454" spans="1:21" x14ac:dyDescent="0.3">
      <c r="A454" t="s">
        <v>950</v>
      </c>
      <c r="B454" s="1">
        <v>44991</v>
      </c>
      <c r="C454" t="s">
        <v>951</v>
      </c>
      <c r="D454" s="3" t="s">
        <v>25</v>
      </c>
      <c r="E454" s="2">
        <v>16349</v>
      </c>
      <c r="F454" s="2">
        <v>22.5</v>
      </c>
      <c r="G454" s="4">
        <v>36</v>
      </c>
      <c r="H454" t="s">
        <v>19</v>
      </c>
      <c r="I454" t="s">
        <v>20</v>
      </c>
      <c r="J454" t="s">
        <v>28</v>
      </c>
      <c r="K454" s="2">
        <v>95149</v>
      </c>
      <c r="L454" t="s">
        <v>29</v>
      </c>
      <c r="M454" s="2">
        <v>0.17</v>
      </c>
      <c r="N454" s="2">
        <v>0.87</v>
      </c>
      <c r="O454" s="2">
        <v>20027.53</v>
      </c>
      <c r="P454" s="2">
        <v>0</v>
      </c>
      <c r="Q454">
        <f t="shared" si="28"/>
        <v>18791.954022988506</v>
      </c>
      <c r="R454">
        <f t="shared" ca="1" si="29"/>
        <v>36</v>
      </c>
      <c r="S454" s="2">
        <f t="shared" si="30"/>
        <v>3678.5299999999988</v>
      </c>
      <c r="T454" s="18">
        <v>0.1</v>
      </c>
      <c r="U454">
        <f t="shared" si="31"/>
        <v>4046.3829999999989</v>
      </c>
    </row>
    <row r="455" spans="1:21" x14ac:dyDescent="0.3">
      <c r="A455" t="s">
        <v>952</v>
      </c>
      <c r="B455" s="1">
        <v>44830</v>
      </c>
      <c r="C455" t="s">
        <v>953</v>
      </c>
      <c r="D455" s="3" t="s">
        <v>40</v>
      </c>
      <c r="E455" s="2">
        <v>8179</v>
      </c>
      <c r="F455" s="2">
        <v>22.5</v>
      </c>
      <c r="G455" s="4">
        <v>60</v>
      </c>
      <c r="H455" t="s">
        <v>19</v>
      </c>
      <c r="I455" t="s">
        <v>84</v>
      </c>
      <c r="J455" t="s">
        <v>37</v>
      </c>
      <c r="K455" s="2">
        <v>56616</v>
      </c>
      <c r="L455" t="s">
        <v>29</v>
      </c>
      <c r="M455" s="2">
        <v>0.37</v>
      </c>
      <c r="N455" s="2">
        <v>0.5</v>
      </c>
      <c r="O455" s="2">
        <v>10019.280000000001</v>
      </c>
      <c r="P455" s="2">
        <v>0</v>
      </c>
      <c r="Q455">
        <f t="shared" si="28"/>
        <v>16358</v>
      </c>
      <c r="R455">
        <f t="shared" ca="1" si="29"/>
        <v>41</v>
      </c>
      <c r="S455" s="2">
        <f t="shared" si="30"/>
        <v>1840.2800000000007</v>
      </c>
      <c r="T455" s="18">
        <v>0.1</v>
      </c>
      <c r="U455">
        <f t="shared" si="31"/>
        <v>2024.3080000000009</v>
      </c>
    </row>
    <row r="456" spans="1:21" x14ac:dyDescent="0.3">
      <c r="A456" t="s">
        <v>954</v>
      </c>
      <c r="B456" s="1">
        <v>44225</v>
      </c>
      <c r="C456" t="s">
        <v>955</v>
      </c>
      <c r="D456" s="3" t="s">
        <v>72</v>
      </c>
      <c r="E456" s="2">
        <v>11326</v>
      </c>
      <c r="F456" s="2">
        <v>11.6</v>
      </c>
      <c r="G456" s="4">
        <v>60</v>
      </c>
      <c r="H456" t="s">
        <v>81</v>
      </c>
      <c r="I456" t="s">
        <v>20</v>
      </c>
      <c r="J456" t="s">
        <v>47</v>
      </c>
      <c r="K456" s="2">
        <v>109655</v>
      </c>
      <c r="L456" t="s">
        <v>33</v>
      </c>
      <c r="M456" s="2">
        <v>0.12</v>
      </c>
      <c r="N456" s="2">
        <v>0.71</v>
      </c>
      <c r="O456" s="2">
        <v>3433.56</v>
      </c>
      <c r="P456" s="2">
        <v>1960.48</v>
      </c>
      <c r="Q456">
        <f t="shared" si="28"/>
        <v>15952.112676056338</v>
      </c>
      <c r="R456">
        <f t="shared" ca="1" si="29"/>
        <v>61</v>
      </c>
      <c r="S456" s="2">
        <f t="shared" si="30"/>
        <v>-5931.96</v>
      </c>
      <c r="T456" s="18">
        <v>0.1</v>
      </c>
      <c r="U456">
        <f t="shared" si="31"/>
        <v>-6525.1560000000009</v>
      </c>
    </row>
    <row r="457" spans="1:21" x14ac:dyDescent="0.3">
      <c r="A457" t="s">
        <v>956</v>
      </c>
      <c r="B457" s="1">
        <v>44535</v>
      </c>
      <c r="C457" t="s">
        <v>957</v>
      </c>
      <c r="D457" s="3" t="s">
        <v>76</v>
      </c>
      <c r="E457" s="2">
        <v>2560</v>
      </c>
      <c r="F457" s="2">
        <v>11.8</v>
      </c>
      <c r="G457" s="4">
        <v>60</v>
      </c>
      <c r="H457" t="s">
        <v>19</v>
      </c>
      <c r="I457" t="s">
        <v>20</v>
      </c>
      <c r="J457" t="s">
        <v>32</v>
      </c>
      <c r="K457" s="2">
        <v>120695</v>
      </c>
      <c r="L457" t="s">
        <v>22</v>
      </c>
      <c r="M457" s="2">
        <v>0.35</v>
      </c>
      <c r="N457" s="2">
        <v>0.65</v>
      </c>
      <c r="O457" s="2">
        <v>2862.08</v>
      </c>
      <c r="P457" s="2">
        <v>0</v>
      </c>
      <c r="Q457">
        <f t="shared" si="28"/>
        <v>3938.4615384615381</v>
      </c>
      <c r="R457">
        <f t="shared" ca="1" si="29"/>
        <v>51</v>
      </c>
      <c r="S457" s="2">
        <f t="shared" si="30"/>
        <v>302.07999999999993</v>
      </c>
      <c r="T457" s="18">
        <v>0.1</v>
      </c>
      <c r="U457">
        <f t="shared" si="31"/>
        <v>332.28799999999995</v>
      </c>
    </row>
    <row r="458" spans="1:21" x14ac:dyDescent="0.3">
      <c r="A458" t="s">
        <v>958</v>
      </c>
      <c r="B458" s="1">
        <v>44696</v>
      </c>
      <c r="C458" t="s">
        <v>959</v>
      </c>
      <c r="D458" s="3" t="s">
        <v>76</v>
      </c>
      <c r="E458" s="2">
        <v>14612</v>
      </c>
      <c r="F458" s="2">
        <v>24.8</v>
      </c>
      <c r="G458" s="4">
        <v>60</v>
      </c>
      <c r="H458" t="s">
        <v>19</v>
      </c>
      <c r="I458" t="s">
        <v>20</v>
      </c>
      <c r="J458" t="s">
        <v>47</v>
      </c>
      <c r="K458" s="2">
        <v>84567</v>
      </c>
      <c r="L458" t="s">
        <v>33</v>
      </c>
      <c r="M458" s="2">
        <v>0.38</v>
      </c>
      <c r="N458" s="2">
        <v>0.52</v>
      </c>
      <c r="O458" s="2">
        <v>18235.78</v>
      </c>
      <c r="P458" s="2">
        <v>0</v>
      </c>
      <c r="Q458">
        <f t="shared" si="28"/>
        <v>28100</v>
      </c>
      <c r="R458">
        <f t="shared" ca="1" si="29"/>
        <v>46</v>
      </c>
      <c r="S458" s="2">
        <f t="shared" si="30"/>
        <v>3623.7799999999988</v>
      </c>
      <c r="T458" s="18">
        <v>0.1</v>
      </c>
      <c r="U458">
        <f t="shared" si="31"/>
        <v>3986.157999999999</v>
      </c>
    </row>
    <row r="459" spans="1:21" x14ac:dyDescent="0.3">
      <c r="A459" t="s">
        <v>960</v>
      </c>
      <c r="B459" s="1">
        <v>44707</v>
      </c>
      <c r="C459" t="s">
        <v>961</v>
      </c>
      <c r="D459" s="3" t="s">
        <v>18</v>
      </c>
      <c r="E459" s="2">
        <v>18650</v>
      </c>
      <c r="F459" s="2">
        <v>17.5</v>
      </c>
      <c r="G459" s="4">
        <v>60</v>
      </c>
      <c r="H459" t="s">
        <v>19</v>
      </c>
      <c r="I459" t="s">
        <v>27</v>
      </c>
      <c r="J459" t="s">
        <v>37</v>
      </c>
      <c r="K459" s="2">
        <v>67099</v>
      </c>
      <c r="L459" t="s">
        <v>29</v>
      </c>
      <c r="M459" s="2">
        <v>0.19</v>
      </c>
      <c r="N459" s="2">
        <v>0.7</v>
      </c>
      <c r="O459" s="2">
        <v>21913.75</v>
      </c>
      <c r="P459" s="2">
        <v>0</v>
      </c>
      <c r="Q459">
        <f t="shared" si="28"/>
        <v>26642.857142857145</v>
      </c>
      <c r="R459">
        <f t="shared" ca="1" si="29"/>
        <v>45</v>
      </c>
      <c r="S459" s="2">
        <f t="shared" si="30"/>
        <v>3263.75</v>
      </c>
      <c r="T459" s="18">
        <v>0.1</v>
      </c>
      <c r="U459">
        <f t="shared" si="31"/>
        <v>3590.1250000000005</v>
      </c>
    </row>
    <row r="460" spans="1:21" x14ac:dyDescent="0.3">
      <c r="A460" t="s">
        <v>962</v>
      </c>
      <c r="B460" s="1">
        <v>44413</v>
      </c>
      <c r="C460" t="s">
        <v>963</v>
      </c>
      <c r="D460" s="3" t="s">
        <v>65</v>
      </c>
      <c r="E460" s="2">
        <v>27745</v>
      </c>
      <c r="F460" s="2">
        <v>15.6</v>
      </c>
      <c r="G460" s="4">
        <v>36</v>
      </c>
      <c r="H460" t="s">
        <v>60</v>
      </c>
      <c r="I460" t="s">
        <v>20</v>
      </c>
      <c r="J460" t="s">
        <v>32</v>
      </c>
      <c r="K460" s="2">
        <v>105831</v>
      </c>
      <c r="L460" t="s">
        <v>33</v>
      </c>
      <c r="M460" s="2">
        <v>0.12</v>
      </c>
      <c r="N460" s="2">
        <v>0.61</v>
      </c>
      <c r="O460" s="2">
        <v>0</v>
      </c>
      <c r="P460" s="2">
        <v>0</v>
      </c>
      <c r="Q460">
        <f t="shared" si="28"/>
        <v>45483.606557377047</v>
      </c>
      <c r="R460">
        <f t="shared" ca="1" si="29"/>
        <v>55</v>
      </c>
      <c r="S460" s="2">
        <f t="shared" si="30"/>
        <v>-27745</v>
      </c>
      <c r="T460" s="18">
        <v>0.1</v>
      </c>
      <c r="U460">
        <f t="shared" si="31"/>
        <v>-30519.500000000004</v>
      </c>
    </row>
    <row r="461" spans="1:21" x14ac:dyDescent="0.3">
      <c r="A461" t="s">
        <v>964</v>
      </c>
      <c r="B461" s="1">
        <v>45290</v>
      </c>
      <c r="C461" t="s">
        <v>965</v>
      </c>
      <c r="D461" s="3" t="s">
        <v>18</v>
      </c>
      <c r="E461" s="2">
        <v>32890</v>
      </c>
      <c r="F461" s="2">
        <v>21.8</v>
      </c>
      <c r="G461" s="4">
        <v>36</v>
      </c>
      <c r="H461" t="s">
        <v>19</v>
      </c>
      <c r="I461" t="s">
        <v>57</v>
      </c>
      <c r="J461" t="s">
        <v>37</v>
      </c>
      <c r="K461" s="2">
        <v>130246</v>
      </c>
      <c r="L461" t="s">
        <v>29</v>
      </c>
      <c r="M461" s="2">
        <v>0.25</v>
      </c>
      <c r="N461" s="2">
        <v>0.66</v>
      </c>
      <c r="O461" s="2">
        <v>40060.019999999997</v>
      </c>
      <c r="P461" s="2">
        <v>0</v>
      </c>
      <c r="Q461">
        <f t="shared" si="28"/>
        <v>49833.333333333328</v>
      </c>
      <c r="R461">
        <f t="shared" ca="1" si="29"/>
        <v>26</v>
      </c>
      <c r="S461" s="2">
        <f t="shared" si="30"/>
        <v>7170.0199999999968</v>
      </c>
      <c r="T461" s="18">
        <v>0.1</v>
      </c>
      <c r="U461">
        <f t="shared" si="31"/>
        <v>7887.0219999999972</v>
      </c>
    </row>
    <row r="462" spans="1:21" x14ac:dyDescent="0.3">
      <c r="A462" t="s">
        <v>966</v>
      </c>
      <c r="B462" s="1">
        <v>44641</v>
      </c>
      <c r="C462" t="s">
        <v>967</v>
      </c>
      <c r="D462" s="3" t="s">
        <v>65</v>
      </c>
      <c r="E462" s="2">
        <v>21022</v>
      </c>
      <c r="F462" s="2">
        <v>10.7</v>
      </c>
      <c r="G462" s="4">
        <v>60</v>
      </c>
      <c r="H462" t="s">
        <v>26</v>
      </c>
      <c r="I462" t="s">
        <v>57</v>
      </c>
      <c r="J462" t="s">
        <v>21</v>
      </c>
      <c r="K462" s="2">
        <v>91799</v>
      </c>
      <c r="L462" t="s">
        <v>29</v>
      </c>
      <c r="M462" s="2">
        <v>0.14000000000000001</v>
      </c>
      <c r="N462" s="2">
        <v>0.82</v>
      </c>
      <c r="O462" s="2">
        <v>5630.06</v>
      </c>
      <c r="P462" s="2">
        <v>0</v>
      </c>
      <c r="Q462">
        <f t="shared" si="28"/>
        <v>25636.585365853662</v>
      </c>
      <c r="R462">
        <f t="shared" ca="1" si="29"/>
        <v>47</v>
      </c>
      <c r="S462" s="2">
        <f t="shared" si="30"/>
        <v>-15391.939999999999</v>
      </c>
      <c r="T462" s="18">
        <v>0.1</v>
      </c>
      <c r="U462">
        <f t="shared" si="31"/>
        <v>-16931.133999999998</v>
      </c>
    </row>
    <row r="463" spans="1:21" x14ac:dyDescent="0.3">
      <c r="A463" t="s">
        <v>968</v>
      </c>
      <c r="B463" s="1">
        <v>45072</v>
      </c>
      <c r="C463" t="s">
        <v>969</v>
      </c>
      <c r="D463" s="3" t="s">
        <v>25</v>
      </c>
      <c r="E463" s="2">
        <v>5780</v>
      </c>
      <c r="F463" s="2">
        <v>13.6</v>
      </c>
      <c r="G463" s="4">
        <v>60</v>
      </c>
      <c r="H463" t="s">
        <v>19</v>
      </c>
      <c r="I463" t="s">
        <v>73</v>
      </c>
      <c r="J463" t="s">
        <v>21</v>
      </c>
      <c r="K463" s="2">
        <v>120221</v>
      </c>
      <c r="L463" t="s">
        <v>22</v>
      </c>
      <c r="M463" s="2">
        <v>0.15</v>
      </c>
      <c r="N463" s="2">
        <v>0.73</v>
      </c>
      <c r="O463" s="2">
        <v>6566.08</v>
      </c>
      <c r="P463" s="2">
        <v>0</v>
      </c>
      <c r="Q463">
        <f t="shared" si="28"/>
        <v>7917.8082191780823</v>
      </c>
      <c r="R463">
        <f t="shared" ca="1" si="29"/>
        <v>33</v>
      </c>
      <c r="S463" s="2">
        <f t="shared" si="30"/>
        <v>786.07999999999993</v>
      </c>
      <c r="T463" s="18">
        <v>0.1</v>
      </c>
      <c r="U463">
        <f t="shared" si="31"/>
        <v>864.68799999999999</v>
      </c>
    </row>
    <row r="464" spans="1:21" x14ac:dyDescent="0.3">
      <c r="A464" t="s">
        <v>970</v>
      </c>
      <c r="B464" s="1">
        <v>44363</v>
      </c>
      <c r="C464" t="s">
        <v>971</v>
      </c>
      <c r="D464" s="3" t="s">
        <v>40</v>
      </c>
      <c r="E464" s="2">
        <v>19311</v>
      </c>
      <c r="F464" s="2">
        <v>10.4</v>
      </c>
      <c r="G464" s="4">
        <v>36</v>
      </c>
      <c r="H464" t="s">
        <v>81</v>
      </c>
      <c r="I464" t="s">
        <v>27</v>
      </c>
      <c r="J464" t="s">
        <v>21</v>
      </c>
      <c r="K464" s="2">
        <v>144879</v>
      </c>
      <c r="L464" t="s">
        <v>22</v>
      </c>
      <c r="M464" s="2">
        <v>0.2</v>
      </c>
      <c r="N464" s="2">
        <v>0.56000000000000005</v>
      </c>
      <c r="O464" s="2">
        <v>7598.51</v>
      </c>
      <c r="P464" s="2">
        <v>3245.92</v>
      </c>
      <c r="Q464">
        <f t="shared" si="28"/>
        <v>34483.928571428565</v>
      </c>
      <c r="R464">
        <f t="shared" ca="1" si="29"/>
        <v>57</v>
      </c>
      <c r="S464" s="2">
        <f t="shared" si="30"/>
        <v>-8466.57</v>
      </c>
      <c r="T464" s="18">
        <v>0.1</v>
      </c>
      <c r="U464">
        <f t="shared" si="31"/>
        <v>-9313.2270000000008</v>
      </c>
    </row>
    <row r="465" spans="1:21" x14ac:dyDescent="0.3">
      <c r="A465" t="s">
        <v>972</v>
      </c>
      <c r="B465" s="1">
        <v>44287</v>
      </c>
      <c r="C465" t="s">
        <v>973</v>
      </c>
      <c r="D465" s="3" t="s">
        <v>53</v>
      </c>
      <c r="E465" s="2">
        <v>29380</v>
      </c>
      <c r="F465" s="2">
        <v>20.8</v>
      </c>
      <c r="G465" s="4">
        <v>36</v>
      </c>
      <c r="H465" t="s">
        <v>81</v>
      </c>
      <c r="I465" t="s">
        <v>73</v>
      </c>
      <c r="J465" t="s">
        <v>37</v>
      </c>
      <c r="K465" s="2">
        <v>55479</v>
      </c>
      <c r="L465" t="s">
        <v>29</v>
      </c>
      <c r="M465" s="2">
        <v>0.22</v>
      </c>
      <c r="N465" s="2">
        <v>0.93</v>
      </c>
      <c r="O465" s="2">
        <v>10642.35</v>
      </c>
      <c r="P465" s="2">
        <v>10361.469999999999</v>
      </c>
      <c r="Q465">
        <f t="shared" si="28"/>
        <v>31591.397849462363</v>
      </c>
      <c r="R465">
        <f t="shared" ca="1" si="29"/>
        <v>59</v>
      </c>
      <c r="S465" s="2">
        <f t="shared" si="30"/>
        <v>-8376.18</v>
      </c>
      <c r="T465" s="18">
        <v>0.1</v>
      </c>
      <c r="U465">
        <f t="shared" si="31"/>
        <v>-9213.7980000000007</v>
      </c>
    </row>
    <row r="466" spans="1:21" x14ac:dyDescent="0.3">
      <c r="A466" t="s">
        <v>974</v>
      </c>
      <c r="B466" s="1">
        <v>44910</v>
      </c>
      <c r="C466" t="s">
        <v>975</v>
      </c>
      <c r="D466" s="3" t="s">
        <v>25</v>
      </c>
      <c r="E466" s="2">
        <v>3356</v>
      </c>
      <c r="F466" s="2">
        <v>16.5</v>
      </c>
      <c r="G466" s="4">
        <v>36</v>
      </c>
      <c r="H466" t="s">
        <v>26</v>
      </c>
      <c r="I466" t="s">
        <v>36</v>
      </c>
      <c r="J466" t="s">
        <v>37</v>
      </c>
      <c r="K466" s="2">
        <v>76172</v>
      </c>
      <c r="L466" t="s">
        <v>29</v>
      </c>
      <c r="M466" s="2">
        <v>0.31</v>
      </c>
      <c r="N466" s="2">
        <v>0.79</v>
      </c>
      <c r="O466" s="2">
        <v>710.07</v>
      </c>
      <c r="P466" s="2">
        <v>0</v>
      </c>
      <c r="Q466">
        <f t="shared" si="28"/>
        <v>4248.1012658227846</v>
      </c>
      <c r="R466">
        <f t="shared" ca="1" si="29"/>
        <v>39</v>
      </c>
      <c r="S466" s="2">
        <f t="shared" si="30"/>
        <v>-2645.93</v>
      </c>
      <c r="T466" s="18">
        <v>0.1</v>
      </c>
      <c r="U466">
        <f t="shared" si="31"/>
        <v>-2910.5230000000001</v>
      </c>
    </row>
    <row r="467" spans="1:21" x14ac:dyDescent="0.3">
      <c r="A467" t="s">
        <v>976</v>
      </c>
      <c r="B467" s="1">
        <v>44235</v>
      </c>
      <c r="C467" t="s">
        <v>977</v>
      </c>
      <c r="D467" s="3" t="s">
        <v>76</v>
      </c>
      <c r="E467" s="2">
        <v>5790</v>
      </c>
      <c r="F467" s="2">
        <v>18.2</v>
      </c>
      <c r="G467" s="4">
        <v>36</v>
      </c>
      <c r="H467" t="s">
        <v>19</v>
      </c>
      <c r="I467" t="s">
        <v>36</v>
      </c>
      <c r="J467" t="s">
        <v>37</v>
      </c>
      <c r="K467" s="2">
        <v>129165</v>
      </c>
      <c r="L467" t="s">
        <v>33</v>
      </c>
      <c r="M467" s="2">
        <v>0.37</v>
      </c>
      <c r="N467" s="2">
        <v>0.84</v>
      </c>
      <c r="O467" s="2">
        <v>6843.78</v>
      </c>
      <c r="P467" s="2">
        <v>0</v>
      </c>
      <c r="Q467">
        <f t="shared" si="28"/>
        <v>6892.8571428571431</v>
      </c>
      <c r="R467">
        <f t="shared" ca="1" si="29"/>
        <v>61</v>
      </c>
      <c r="S467" s="2">
        <f t="shared" si="30"/>
        <v>1053.7799999999997</v>
      </c>
      <c r="T467" s="18">
        <v>0.1</v>
      </c>
      <c r="U467">
        <f t="shared" si="31"/>
        <v>1159.1579999999999</v>
      </c>
    </row>
    <row r="468" spans="1:21" x14ac:dyDescent="0.3">
      <c r="A468" t="s">
        <v>978</v>
      </c>
      <c r="B468" s="1">
        <v>44369</v>
      </c>
      <c r="C468" t="s">
        <v>979</v>
      </c>
      <c r="D468" s="3" t="s">
        <v>53</v>
      </c>
      <c r="E468" s="2">
        <v>27911</v>
      </c>
      <c r="F468" s="2">
        <v>10</v>
      </c>
      <c r="G468" s="4">
        <v>60</v>
      </c>
      <c r="H468" t="s">
        <v>19</v>
      </c>
      <c r="I468" t="s">
        <v>57</v>
      </c>
      <c r="J468" t="s">
        <v>47</v>
      </c>
      <c r="K468" s="2">
        <v>85863</v>
      </c>
      <c r="L468" t="s">
        <v>29</v>
      </c>
      <c r="M468" s="2">
        <v>0.34</v>
      </c>
      <c r="N468" s="2">
        <v>0.54</v>
      </c>
      <c r="O468" s="2">
        <v>30702.1</v>
      </c>
      <c r="P468" s="2">
        <v>0</v>
      </c>
      <c r="Q468">
        <f t="shared" si="28"/>
        <v>51687.037037037036</v>
      </c>
      <c r="R468">
        <f t="shared" ca="1" si="29"/>
        <v>56</v>
      </c>
      <c r="S468" s="2">
        <f t="shared" si="30"/>
        <v>2791.0999999999985</v>
      </c>
      <c r="T468" s="18">
        <v>0.1</v>
      </c>
      <c r="U468">
        <f t="shared" si="31"/>
        <v>3070.2099999999987</v>
      </c>
    </row>
    <row r="469" spans="1:21" x14ac:dyDescent="0.3">
      <c r="A469" t="s">
        <v>980</v>
      </c>
      <c r="B469" s="1">
        <v>44849</v>
      </c>
      <c r="C469" t="s">
        <v>981</v>
      </c>
      <c r="D469" s="3" t="s">
        <v>56</v>
      </c>
      <c r="E469" s="2">
        <v>25363</v>
      </c>
      <c r="F469" s="2">
        <v>9.4</v>
      </c>
      <c r="G469" s="4">
        <v>36</v>
      </c>
      <c r="H469" t="s">
        <v>19</v>
      </c>
      <c r="I469" t="s">
        <v>27</v>
      </c>
      <c r="J469" t="s">
        <v>37</v>
      </c>
      <c r="K469" s="2">
        <v>72043</v>
      </c>
      <c r="L469" t="s">
        <v>33</v>
      </c>
      <c r="M469" s="2">
        <v>0.16</v>
      </c>
      <c r="N469" s="2">
        <v>0.52</v>
      </c>
      <c r="O469" s="2">
        <v>27747.119999999999</v>
      </c>
      <c r="P469" s="2">
        <v>0</v>
      </c>
      <c r="Q469">
        <f t="shared" si="28"/>
        <v>48775</v>
      </c>
      <c r="R469">
        <f t="shared" ca="1" si="29"/>
        <v>41</v>
      </c>
      <c r="S469" s="2">
        <f t="shared" si="30"/>
        <v>2384.119999999999</v>
      </c>
      <c r="T469" s="18">
        <v>0.1</v>
      </c>
      <c r="U469">
        <f t="shared" si="31"/>
        <v>2622.5319999999992</v>
      </c>
    </row>
    <row r="470" spans="1:21" x14ac:dyDescent="0.3">
      <c r="A470" t="s">
        <v>982</v>
      </c>
      <c r="B470" s="1">
        <v>44950</v>
      </c>
      <c r="C470" t="s">
        <v>983</v>
      </c>
      <c r="D470" s="3" t="s">
        <v>53</v>
      </c>
      <c r="E470" s="2">
        <v>21049</v>
      </c>
      <c r="F470" s="2">
        <v>14.8</v>
      </c>
      <c r="G470" s="4">
        <v>60</v>
      </c>
      <c r="H470" t="s">
        <v>19</v>
      </c>
      <c r="I470" t="s">
        <v>27</v>
      </c>
      <c r="J470" t="s">
        <v>21</v>
      </c>
      <c r="K470" s="2">
        <v>112569</v>
      </c>
      <c r="L470" t="s">
        <v>29</v>
      </c>
      <c r="M470" s="2">
        <v>0.17</v>
      </c>
      <c r="N470" s="2">
        <v>0.51</v>
      </c>
      <c r="O470" s="2">
        <v>24164.25</v>
      </c>
      <c r="P470" s="2">
        <v>0</v>
      </c>
      <c r="Q470">
        <f t="shared" si="28"/>
        <v>41272.549019607839</v>
      </c>
      <c r="R470">
        <f t="shared" ca="1" si="29"/>
        <v>37</v>
      </c>
      <c r="S470" s="2">
        <f t="shared" si="30"/>
        <v>3115.25</v>
      </c>
      <c r="T470" s="18">
        <v>0.1</v>
      </c>
      <c r="U470">
        <f t="shared" si="31"/>
        <v>3426.7750000000001</v>
      </c>
    </row>
    <row r="471" spans="1:21" x14ac:dyDescent="0.3">
      <c r="A471" t="s">
        <v>984</v>
      </c>
      <c r="B471" s="1">
        <v>45278</v>
      </c>
      <c r="C471" t="s">
        <v>985</v>
      </c>
      <c r="D471" s="3" t="s">
        <v>53</v>
      </c>
      <c r="E471" s="2">
        <v>11181</v>
      </c>
      <c r="F471" s="2">
        <v>19.8</v>
      </c>
      <c r="G471" s="4">
        <v>36</v>
      </c>
      <c r="H471" t="s">
        <v>19</v>
      </c>
      <c r="I471" t="s">
        <v>36</v>
      </c>
      <c r="J471" t="s">
        <v>28</v>
      </c>
      <c r="K471" s="2">
        <v>132438</v>
      </c>
      <c r="L471" t="s">
        <v>22</v>
      </c>
      <c r="M471" s="2">
        <v>0.45</v>
      </c>
      <c r="N471" s="2">
        <v>0.57999999999999996</v>
      </c>
      <c r="O471" s="2">
        <v>13394.84</v>
      </c>
      <c r="P471" s="2">
        <v>0</v>
      </c>
      <c r="Q471">
        <f t="shared" si="28"/>
        <v>19277.586206896554</v>
      </c>
      <c r="R471">
        <f t="shared" ca="1" si="29"/>
        <v>27</v>
      </c>
      <c r="S471" s="2">
        <f t="shared" si="30"/>
        <v>2213.84</v>
      </c>
      <c r="T471" s="18">
        <v>0.1</v>
      </c>
      <c r="U471">
        <f t="shared" si="31"/>
        <v>2435.2240000000002</v>
      </c>
    </row>
    <row r="472" spans="1:21" x14ac:dyDescent="0.3">
      <c r="A472" t="s">
        <v>986</v>
      </c>
      <c r="B472" s="1">
        <v>44672</v>
      </c>
      <c r="C472" t="s">
        <v>987</v>
      </c>
      <c r="D472" s="3" t="s">
        <v>25</v>
      </c>
      <c r="E472" s="2">
        <v>17082</v>
      </c>
      <c r="F472" s="2">
        <v>15.5</v>
      </c>
      <c r="G472" s="4">
        <v>36</v>
      </c>
      <c r="H472" t="s">
        <v>19</v>
      </c>
      <c r="I472" t="s">
        <v>57</v>
      </c>
      <c r="J472" t="s">
        <v>37</v>
      </c>
      <c r="K472" s="2">
        <v>140107</v>
      </c>
      <c r="L472" t="s">
        <v>22</v>
      </c>
      <c r="M472" s="2">
        <v>0.32</v>
      </c>
      <c r="N472" s="2">
        <v>0.69</v>
      </c>
      <c r="O472" s="2">
        <v>19729.71</v>
      </c>
      <c r="P472" s="2">
        <v>0</v>
      </c>
      <c r="Q472">
        <f t="shared" si="28"/>
        <v>24756.521739130436</v>
      </c>
      <c r="R472">
        <f t="shared" ca="1" si="29"/>
        <v>46</v>
      </c>
      <c r="S472" s="2">
        <f t="shared" si="30"/>
        <v>2647.7099999999991</v>
      </c>
      <c r="T472" s="18">
        <v>0.1</v>
      </c>
      <c r="U472">
        <f t="shared" si="31"/>
        <v>2912.4809999999993</v>
      </c>
    </row>
    <row r="473" spans="1:21" x14ac:dyDescent="0.3">
      <c r="A473" t="s">
        <v>988</v>
      </c>
      <c r="B473" s="1">
        <v>44652</v>
      </c>
      <c r="C473" t="s">
        <v>989</v>
      </c>
      <c r="D473" s="3" t="s">
        <v>76</v>
      </c>
      <c r="E473" s="2">
        <v>1661</v>
      </c>
      <c r="F473" s="2">
        <v>5.7</v>
      </c>
      <c r="G473" s="4">
        <v>36</v>
      </c>
      <c r="H473" t="s">
        <v>26</v>
      </c>
      <c r="I473" t="s">
        <v>73</v>
      </c>
      <c r="J473" t="s">
        <v>28</v>
      </c>
      <c r="K473" s="2">
        <v>45408</v>
      </c>
      <c r="L473" t="s">
        <v>29</v>
      </c>
      <c r="M473" s="2">
        <v>0.45</v>
      </c>
      <c r="N473" s="2">
        <v>0.92</v>
      </c>
      <c r="O473" s="2">
        <v>117.05</v>
      </c>
      <c r="P473" s="2">
        <v>0</v>
      </c>
      <c r="Q473">
        <f t="shared" si="28"/>
        <v>1805.4347826086955</v>
      </c>
      <c r="R473">
        <f t="shared" ca="1" si="29"/>
        <v>47</v>
      </c>
      <c r="S473" s="2">
        <f t="shared" si="30"/>
        <v>-1543.95</v>
      </c>
      <c r="T473" s="18">
        <v>0.1</v>
      </c>
      <c r="U473">
        <f t="shared" si="31"/>
        <v>-1698.3450000000003</v>
      </c>
    </row>
    <row r="474" spans="1:21" x14ac:dyDescent="0.3">
      <c r="A474" t="s">
        <v>990</v>
      </c>
      <c r="B474" s="1">
        <v>45025</v>
      </c>
      <c r="C474" t="s">
        <v>991</v>
      </c>
      <c r="D474" s="3" t="s">
        <v>53</v>
      </c>
      <c r="E474" s="2">
        <v>38412</v>
      </c>
      <c r="F474" s="2">
        <v>22.4</v>
      </c>
      <c r="G474" s="4">
        <v>60</v>
      </c>
      <c r="H474" t="s">
        <v>19</v>
      </c>
      <c r="I474" t="s">
        <v>57</v>
      </c>
      <c r="J474" t="s">
        <v>21</v>
      </c>
      <c r="K474" s="2">
        <v>87980</v>
      </c>
      <c r="L474" t="s">
        <v>33</v>
      </c>
      <c r="M474" s="2">
        <v>0.25</v>
      </c>
      <c r="N474" s="2">
        <v>0.71</v>
      </c>
      <c r="O474" s="2">
        <v>47016.29</v>
      </c>
      <c r="P474" s="2">
        <v>0</v>
      </c>
      <c r="Q474">
        <f t="shared" si="28"/>
        <v>54101.408450704228</v>
      </c>
      <c r="R474">
        <f t="shared" ca="1" si="29"/>
        <v>35</v>
      </c>
      <c r="S474" s="2">
        <f t="shared" si="30"/>
        <v>8604.2900000000009</v>
      </c>
      <c r="T474" s="18">
        <v>0.1</v>
      </c>
      <c r="U474">
        <f t="shared" si="31"/>
        <v>9464.719000000001</v>
      </c>
    </row>
    <row r="475" spans="1:21" x14ac:dyDescent="0.3">
      <c r="A475" t="s">
        <v>992</v>
      </c>
      <c r="B475" s="1">
        <v>45091</v>
      </c>
      <c r="C475" t="s">
        <v>993</v>
      </c>
      <c r="D475" s="3" t="s">
        <v>25</v>
      </c>
      <c r="E475" s="2">
        <v>3920</v>
      </c>
      <c r="F475" s="2">
        <v>6.3</v>
      </c>
      <c r="G475" s="4">
        <v>60</v>
      </c>
      <c r="H475" t="s">
        <v>19</v>
      </c>
      <c r="I475" t="s">
        <v>84</v>
      </c>
      <c r="J475" t="s">
        <v>37</v>
      </c>
      <c r="K475" s="2">
        <v>112956</v>
      </c>
      <c r="L475" t="s">
        <v>33</v>
      </c>
      <c r="M475" s="2">
        <v>0.35</v>
      </c>
      <c r="N475" s="2">
        <v>0.63</v>
      </c>
      <c r="O475" s="2">
        <v>4166.96</v>
      </c>
      <c r="P475" s="2">
        <v>0</v>
      </c>
      <c r="Q475">
        <f t="shared" si="28"/>
        <v>6222.2222222222226</v>
      </c>
      <c r="R475">
        <f t="shared" ca="1" si="29"/>
        <v>33</v>
      </c>
      <c r="S475" s="2">
        <f t="shared" si="30"/>
        <v>246.96000000000004</v>
      </c>
      <c r="T475" s="18">
        <v>0.1</v>
      </c>
      <c r="U475">
        <f t="shared" si="31"/>
        <v>271.65600000000006</v>
      </c>
    </row>
    <row r="476" spans="1:21" x14ac:dyDescent="0.3">
      <c r="A476" t="s">
        <v>994</v>
      </c>
      <c r="B476" s="1">
        <v>45221</v>
      </c>
      <c r="C476" t="s">
        <v>995</v>
      </c>
      <c r="D476" s="3" t="s">
        <v>25</v>
      </c>
      <c r="E476" s="2">
        <v>26658</v>
      </c>
      <c r="F476" s="2">
        <v>24.1</v>
      </c>
      <c r="G476" s="4">
        <v>36</v>
      </c>
      <c r="H476" t="s">
        <v>19</v>
      </c>
      <c r="I476" t="s">
        <v>20</v>
      </c>
      <c r="J476" t="s">
        <v>47</v>
      </c>
      <c r="K476" s="2">
        <v>46351</v>
      </c>
      <c r="L476" t="s">
        <v>33</v>
      </c>
      <c r="M476" s="2">
        <v>0.31</v>
      </c>
      <c r="N476" s="2">
        <v>0.75</v>
      </c>
      <c r="O476" s="2">
        <v>33082.58</v>
      </c>
      <c r="P476" s="2">
        <v>0</v>
      </c>
      <c r="Q476">
        <f t="shared" si="28"/>
        <v>35544</v>
      </c>
      <c r="R476">
        <f t="shared" ca="1" si="29"/>
        <v>28</v>
      </c>
      <c r="S476" s="2">
        <f t="shared" si="30"/>
        <v>6424.5800000000017</v>
      </c>
      <c r="T476" s="18">
        <v>0.1</v>
      </c>
      <c r="U476">
        <f t="shared" si="31"/>
        <v>7067.0380000000023</v>
      </c>
    </row>
    <row r="477" spans="1:21" x14ac:dyDescent="0.3">
      <c r="A477" t="s">
        <v>996</v>
      </c>
      <c r="B477" s="1">
        <v>44583</v>
      </c>
      <c r="C477" t="s">
        <v>997</v>
      </c>
      <c r="D477" s="3" t="s">
        <v>53</v>
      </c>
      <c r="E477" s="2">
        <v>15025</v>
      </c>
      <c r="F477" s="2">
        <v>5.5</v>
      </c>
      <c r="G477" s="4">
        <v>60</v>
      </c>
      <c r="H477" t="s">
        <v>315</v>
      </c>
      <c r="I477" t="s">
        <v>20</v>
      </c>
      <c r="J477" t="s">
        <v>47</v>
      </c>
      <c r="K477" s="2">
        <v>34131</v>
      </c>
      <c r="L477" t="s">
        <v>29</v>
      </c>
      <c r="M477" s="2">
        <v>0.23</v>
      </c>
      <c r="N477" s="2">
        <v>0.55000000000000004</v>
      </c>
      <c r="O477" s="2">
        <v>0</v>
      </c>
      <c r="P477" s="2">
        <v>0</v>
      </c>
      <c r="Q477">
        <f t="shared" si="28"/>
        <v>27318.181818181816</v>
      </c>
      <c r="R477">
        <f t="shared" ca="1" si="29"/>
        <v>49</v>
      </c>
      <c r="S477" s="2">
        <f t="shared" si="30"/>
        <v>-15025</v>
      </c>
      <c r="T477" s="18">
        <v>0.1</v>
      </c>
      <c r="U477">
        <f t="shared" si="31"/>
        <v>-16527.5</v>
      </c>
    </row>
    <row r="478" spans="1:21" x14ac:dyDescent="0.3">
      <c r="A478" t="s">
        <v>998</v>
      </c>
      <c r="B478" s="1">
        <v>44544</v>
      </c>
      <c r="C478" t="s">
        <v>999</v>
      </c>
      <c r="D478" s="3" t="s">
        <v>65</v>
      </c>
      <c r="E478" s="2">
        <v>9946</v>
      </c>
      <c r="F478" s="2">
        <v>18.899999999999999</v>
      </c>
      <c r="G478" s="4">
        <v>60</v>
      </c>
      <c r="H478" t="s">
        <v>19</v>
      </c>
      <c r="I478" t="s">
        <v>57</v>
      </c>
      <c r="J478" t="s">
        <v>28</v>
      </c>
      <c r="K478" s="2">
        <v>146836</v>
      </c>
      <c r="L478" t="s">
        <v>29</v>
      </c>
      <c r="M478" s="2">
        <v>0.28999999999999998</v>
      </c>
      <c r="N478" s="2">
        <v>0.77</v>
      </c>
      <c r="O478" s="2">
        <v>11825.79</v>
      </c>
      <c r="P478" s="2">
        <v>0</v>
      </c>
      <c r="Q478">
        <f t="shared" si="28"/>
        <v>12916.883116883117</v>
      </c>
      <c r="R478">
        <f t="shared" ca="1" si="29"/>
        <v>51</v>
      </c>
      <c r="S478" s="2">
        <f t="shared" si="30"/>
        <v>1879.7900000000009</v>
      </c>
      <c r="T478" s="18">
        <v>0.1</v>
      </c>
      <c r="U478">
        <f t="shared" si="31"/>
        <v>2067.7690000000011</v>
      </c>
    </row>
    <row r="479" spans="1:21" x14ac:dyDescent="0.3">
      <c r="A479" t="s">
        <v>1000</v>
      </c>
      <c r="B479" s="1">
        <v>44386</v>
      </c>
      <c r="C479" t="s">
        <v>1001</v>
      </c>
      <c r="D479" s="3" t="s">
        <v>76</v>
      </c>
      <c r="E479" s="2">
        <v>29706</v>
      </c>
      <c r="F479" s="2">
        <v>6.6</v>
      </c>
      <c r="G479" s="4">
        <v>36</v>
      </c>
      <c r="H479" t="s">
        <v>26</v>
      </c>
      <c r="I479" t="s">
        <v>20</v>
      </c>
      <c r="J479" t="s">
        <v>47</v>
      </c>
      <c r="K479" s="2">
        <v>74825</v>
      </c>
      <c r="L479" t="s">
        <v>22</v>
      </c>
      <c r="M479" s="2">
        <v>0.3</v>
      </c>
      <c r="N479" s="2">
        <v>0.76</v>
      </c>
      <c r="O479" s="2">
        <v>12789.38</v>
      </c>
      <c r="P479" s="2">
        <v>0</v>
      </c>
      <c r="Q479">
        <f t="shared" si="28"/>
        <v>39086.84210526316</v>
      </c>
      <c r="R479">
        <f t="shared" ca="1" si="29"/>
        <v>56</v>
      </c>
      <c r="S479" s="2">
        <f t="shared" si="30"/>
        <v>-16916.620000000003</v>
      </c>
      <c r="T479" s="18">
        <v>0.1</v>
      </c>
      <c r="U479">
        <f t="shared" si="31"/>
        <v>-18608.282000000003</v>
      </c>
    </row>
    <row r="480" spans="1:21" x14ac:dyDescent="0.3">
      <c r="A480" t="s">
        <v>1002</v>
      </c>
      <c r="B480" s="1">
        <v>44701</v>
      </c>
      <c r="C480" t="s">
        <v>1003</v>
      </c>
      <c r="D480" s="3" t="s">
        <v>50</v>
      </c>
      <c r="E480" s="2">
        <v>17309</v>
      </c>
      <c r="F480" s="2">
        <v>23.2</v>
      </c>
      <c r="G480" s="4">
        <v>36</v>
      </c>
      <c r="H480" t="s">
        <v>19</v>
      </c>
      <c r="I480" t="s">
        <v>73</v>
      </c>
      <c r="J480" t="s">
        <v>47</v>
      </c>
      <c r="K480" s="2">
        <v>41349</v>
      </c>
      <c r="L480" t="s">
        <v>22</v>
      </c>
      <c r="M480" s="2">
        <v>0.18</v>
      </c>
      <c r="N480" s="2">
        <v>0.86</v>
      </c>
      <c r="O480" s="2">
        <v>21324.69</v>
      </c>
      <c r="P480" s="2">
        <v>0</v>
      </c>
      <c r="Q480">
        <f t="shared" si="28"/>
        <v>20126.744186046511</v>
      </c>
      <c r="R480">
        <f t="shared" ca="1" si="29"/>
        <v>45</v>
      </c>
      <c r="S480" s="2">
        <f t="shared" si="30"/>
        <v>4015.6899999999987</v>
      </c>
      <c r="T480" s="18">
        <v>0.1</v>
      </c>
      <c r="U480">
        <f t="shared" si="31"/>
        <v>4417.2589999999991</v>
      </c>
    </row>
    <row r="481" spans="1:21" x14ac:dyDescent="0.3">
      <c r="A481" t="s">
        <v>1004</v>
      </c>
      <c r="B481" s="1">
        <v>45020</v>
      </c>
      <c r="C481" t="s">
        <v>1005</v>
      </c>
      <c r="D481" s="3" t="s">
        <v>53</v>
      </c>
      <c r="E481" s="2">
        <v>34120</v>
      </c>
      <c r="F481" s="2">
        <v>14.3</v>
      </c>
      <c r="G481" s="4">
        <v>60</v>
      </c>
      <c r="H481" t="s">
        <v>19</v>
      </c>
      <c r="I481" t="s">
        <v>20</v>
      </c>
      <c r="J481" t="s">
        <v>47</v>
      </c>
      <c r="K481" s="2">
        <v>90931</v>
      </c>
      <c r="L481" t="s">
        <v>29</v>
      </c>
      <c r="M481" s="2">
        <v>0.23</v>
      </c>
      <c r="N481" s="2">
        <v>0.94</v>
      </c>
      <c r="O481" s="2">
        <v>38999.160000000003</v>
      </c>
      <c r="P481" s="2">
        <v>0</v>
      </c>
      <c r="Q481">
        <f t="shared" si="28"/>
        <v>36297.872340425536</v>
      </c>
      <c r="R481">
        <f t="shared" ca="1" si="29"/>
        <v>35</v>
      </c>
      <c r="S481" s="2">
        <f t="shared" si="30"/>
        <v>4879.1600000000035</v>
      </c>
      <c r="T481" s="18">
        <v>0.1</v>
      </c>
      <c r="U481">
        <f t="shared" si="31"/>
        <v>5367.0760000000046</v>
      </c>
    </row>
    <row r="482" spans="1:21" x14ac:dyDescent="0.3">
      <c r="A482" t="s">
        <v>1006</v>
      </c>
      <c r="B482" s="1">
        <v>45125</v>
      </c>
      <c r="C482" t="s">
        <v>1007</v>
      </c>
      <c r="D482" s="3" t="s">
        <v>18</v>
      </c>
      <c r="E482" s="2">
        <v>31027</v>
      </c>
      <c r="F482" s="2">
        <v>7.8</v>
      </c>
      <c r="G482" s="4">
        <v>60</v>
      </c>
      <c r="H482" t="s">
        <v>19</v>
      </c>
      <c r="I482" t="s">
        <v>57</v>
      </c>
      <c r="J482" t="s">
        <v>21</v>
      </c>
      <c r="K482" s="2">
        <v>74254</v>
      </c>
      <c r="L482" t="s">
        <v>22</v>
      </c>
      <c r="M482" s="2">
        <v>0.42</v>
      </c>
      <c r="N482" s="2">
        <v>0.61</v>
      </c>
      <c r="O482" s="2">
        <v>33447.11</v>
      </c>
      <c r="P482" s="2">
        <v>0</v>
      </c>
      <c r="Q482">
        <f t="shared" si="28"/>
        <v>50863.934426229513</v>
      </c>
      <c r="R482">
        <f t="shared" ca="1" si="29"/>
        <v>32</v>
      </c>
      <c r="S482" s="2">
        <f t="shared" si="30"/>
        <v>2420.1100000000006</v>
      </c>
      <c r="T482" s="18">
        <v>0.1</v>
      </c>
      <c r="U482">
        <f t="shared" si="31"/>
        <v>2662.121000000001</v>
      </c>
    </row>
    <row r="483" spans="1:21" x14ac:dyDescent="0.3">
      <c r="A483" t="s">
        <v>1008</v>
      </c>
      <c r="B483" s="1">
        <v>45130</v>
      </c>
      <c r="C483" t="s">
        <v>1009</v>
      </c>
      <c r="D483" s="3" t="s">
        <v>18</v>
      </c>
      <c r="E483" s="2">
        <v>8005</v>
      </c>
      <c r="F483" s="2">
        <v>11.8</v>
      </c>
      <c r="G483" s="4">
        <v>60</v>
      </c>
      <c r="H483" t="s">
        <v>19</v>
      </c>
      <c r="I483" t="s">
        <v>36</v>
      </c>
      <c r="J483" t="s">
        <v>47</v>
      </c>
      <c r="K483" s="2">
        <v>68225</v>
      </c>
      <c r="L483" t="s">
        <v>33</v>
      </c>
      <c r="M483" s="2">
        <v>0.47</v>
      </c>
      <c r="N483" s="2">
        <v>0.73</v>
      </c>
      <c r="O483" s="2">
        <v>8949.59</v>
      </c>
      <c r="P483" s="2">
        <v>0</v>
      </c>
      <c r="Q483">
        <f t="shared" si="28"/>
        <v>10965.753424657534</v>
      </c>
      <c r="R483">
        <f t="shared" ca="1" si="29"/>
        <v>31</v>
      </c>
      <c r="S483" s="2">
        <f t="shared" si="30"/>
        <v>944.59000000000015</v>
      </c>
      <c r="T483" s="18">
        <v>0.1</v>
      </c>
      <c r="U483">
        <f t="shared" si="31"/>
        <v>1039.0490000000002</v>
      </c>
    </row>
    <row r="484" spans="1:21" x14ac:dyDescent="0.3">
      <c r="A484" t="s">
        <v>1010</v>
      </c>
      <c r="B484" s="1">
        <v>44330</v>
      </c>
      <c r="C484" t="s">
        <v>1011</v>
      </c>
      <c r="D484" s="3" t="s">
        <v>56</v>
      </c>
      <c r="E484" s="2">
        <v>1956</v>
      </c>
      <c r="F484" s="2">
        <v>8.3000000000000007</v>
      </c>
      <c r="G484" s="4">
        <v>36</v>
      </c>
      <c r="H484" t="s">
        <v>26</v>
      </c>
      <c r="I484" t="s">
        <v>57</v>
      </c>
      <c r="J484" t="s">
        <v>32</v>
      </c>
      <c r="K484" s="2">
        <v>134383</v>
      </c>
      <c r="L484" t="s">
        <v>33</v>
      </c>
      <c r="M484" s="2">
        <v>0.24</v>
      </c>
      <c r="N484" s="2">
        <v>0.91</v>
      </c>
      <c r="O484" s="2">
        <v>899.87</v>
      </c>
      <c r="P484" s="2">
        <v>0</v>
      </c>
      <c r="Q484">
        <f t="shared" si="28"/>
        <v>2149.4505494505493</v>
      </c>
      <c r="R484">
        <f t="shared" ca="1" si="29"/>
        <v>58</v>
      </c>
      <c r="S484" s="2">
        <f t="shared" si="30"/>
        <v>-1056.1300000000001</v>
      </c>
      <c r="T484" s="18">
        <v>0.1</v>
      </c>
      <c r="U484">
        <f t="shared" si="31"/>
        <v>-1161.7430000000002</v>
      </c>
    </row>
    <row r="485" spans="1:21" x14ac:dyDescent="0.3">
      <c r="A485" t="s">
        <v>1012</v>
      </c>
      <c r="B485" s="1">
        <v>44254</v>
      </c>
      <c r="C485" t="s">
        <v>1013</v>
      </c>
      <c r="D485" s="3" t="s">
        <v>76</v>
      </c>
      <c r="E485" s="2">
        <v>35839</v>
      </c>
      <c r="F485" s="2">
        <v>8.4</v>
      </c>
      <c r="G485" s="4">
        <v>36</v>
      </c>
      <c r="H485" t="s">
        <v>26</v>
      </c>
      <c r="I485" t="s">
        <v>27</v>
      </c>
      <c r="J485" t="s">
        <v>37</v>
      </c>
      <c r="K485" s="2">
        <v>42453</v>
      </c>
      <c r="L485" t="s">
        <v>29</v>
      </c>
      <c r="M485" s="2">
        <v>0.22</v>
      </c>
      <c r="N485" s="2">
        <v>0.85</v>
      </c>
      <c r="O485" s="2">
        <v>15026.66</v>
      </c>
      <c r="P485" s="2">
        <v>0</v>
      </c>
      <c r="Q485">
        <f t="shared" si="28"/>
        <v>42163.529411764706</v>
      </c>
      <c r="R485">
        <f t="shared" ca="1" si="29"/>
        <v>60</v>
      </c>
      <c r="S485" s="2">
        <f t="shared" si="30"/>
        <v>-20812.34</v>
      </c>
      <c r="T485" s="18">
        <v>0.1</v>
      </c>
      <c r="U485">
        <f t="shared" si="31"/>
        <v>-22893.574000000001</v>
      </c>
    </row>
    <row r="486" spans="1:21" x14ac:dyDescent="0.3">
      <c r="A486" t="s">
        <v>1014</v>
      </c>
      <c r="B486" s="1">
        <v>44881</v>
      </c>
      <c r="C486" t="s">
        <v>1015</v>
      </c>
      <c r="D486" s="3" t="s">
        <v>25</v>
      </c>
      <c r="E486" s="2">
        <v>9595</v>
      </c>
      <c r="F486" s="2">
        <v>24</v>
      </c>
      <c r="G486" s="4">
        <v>60</v>
      </c>
      <c r="H486" t="s">
        <v>19</v>
      </c>
      <c r="I486" t="s">
        <v>20</v>
      </c>
      <c r="J486" t="s">
        <v>47</v>
      </c>
      <c r="K486" s="2">
        <v>48814</v>
      </c>
      <c r="L486" t="s">
        <v>33</v>
      </c>
      <c r="M486" s="2">
        <v>0.18</v>
      </c>
      <c r="N486" s="2">
        <v>0.72</v>
      </c>
      <c r="O486" s="2">
        <v>11897.8</v>
      </c>
      <c r="P486" s="2">
        <v>0</v>
      </c>
      <c r="Q486">
        <f t="shared" si="28"/>
        <v>13326.388888888889</v>
      </c>
      <c r="R486">
        <f t="shared" ca="1" si="29"/>
        <v>40</v>
      </c>
      <c r="S486" s="2">
        <f t="shared" si="30"/>
        <v>2302.7999999999993</v>
      </c>
      <c r="T486" s="18">
        <v>0.1</v>
      </c>
      <c r="U486">
        <f t="shared" si="31"/>
        <v>2533.0799999999995</v>
      </c>
    </row>
    <row r="487" spans="1:21" x14ac:dyDescent="0.3">
      <c r="A487" t="s">
        <v>1016</v>
      </c>
      <c r="B487" s="1">
        <v>44868</v>
      </c>
      <c r="C487" t="s">
        <v>1017</v>
      </c>
      <c r="D487" s="3" t="s">
        <v>46</v>
      </c>
      <c r="E487" s="2">
        <v>13803</v>
      </c>
      <c r="F487" s="2">
        <v>13.9</v>
      </c>
      <c r="G487" s="4">
        <v>36</v>
      </c>
      <c r="H487" t="s">
        <v>60</v>
      </c>
      <c r="I487" t="s">
        <v>20</v>
      </c>
      <c r="J487" t="s">
        <v>47</v>
      </c>
      <c r="K487" s="2">
        <v>48263</v>
      </c>
      <c r="L487" t="s">
        <v>29</v>
      </c>
      <c r="M487" s="2">
        <v>0.37</v>
      </c>
      <c r="N487" s="2">
        <v>0.93</v>
      </c>
      <c r="O487" s="2">
        <v>0</v>
      </c>
      <c r="P487" s="2">
        <v>0</v>
      </c>
      <c r="Q487">
        <f t="shared" si="28"/>
        <v>14841.935483870968</v>
      </c>
      <c r="R487">
        <f t="shared" ca="1" si="29"/>
        <v>40</v>
      </c>
      <c r="S487" s="2">
        <f t="shared" si="30"/>
        <v>-13803</v>
      </c>
      <c r="T487" s="18">
        <v>0.1</v>
      </c>
      <c r="U487">
        <f t="shared" si="31"/>
        <v>-15183.300000000001</v>
      </c>
    </row>
    <row r="488" spans="1:21" x14ac:dyDescent="0.3">
      <c r="A488" t="s">
        <v>1018</v>
      </c>
      <c r="B488" s="1">
        <v>44369</v>
      </c>
      <c r="C488" t="s">
        <v>1019</v>
      </c>
      <c r="D488" s="3" t="s">
        <v>40</v>
      </c>
      <c r="E488" s="2">
        <v>26963</v>
      </c>
      <c r="F488" s="2">
        <v>20.8</v>
      </c>
      <c r="G488" s="4">
        <v>36</v>
      </c>
      <c r="H488" t="s">
        <v>19</v>
      </c>
      <c r="I488" t="s">
        <v>84</v>
      </c>
      <c r="J488" t="s">
        <v>47</v>
      </c>
      <c r="K488" s="2">
        <v>107694</v>
      </c>
      <c r="L488" t="s">
        <v>33</v>
      </c>
      <c r="M488" s="2">
        <v>0.23</v>
      </c>
      <c r="N488" s="2">
        <v>0.53</v>
      </c>
      <c r="O488" s="2">
        <v>32571.3</v>
      </c>
      <c r="P488" s="2">
        <v>0</v>
      </c>
      <c r="Q488">
        <f t="shared" si="28"/>
        <v>50873.584905660377</v>
      </c>
      <c r="R488">
        <f t="shared" ca="1" si="29"/>
        <v>56</v>
      </c>
      <c r="S488" s="2">
        <f t="shared" si="30"/>
        <v>5608.2999999999993</v>
      </c>
      <c r="T488" s="18">
        <v>0.1</v>
      </c>
      <c r="U488">
        <f t="shared" si="31"/>
        <v>6169.13</v>
      </c>
    </row>
    <row r="489" spans="1:21" x14ac:dyDescent="0.3">
      <c r="A489" t="s">
        <v>1020</v>
      </c>
      <c r="B489" s="1">
        <v>45011</v>
      </c>
      <c r="C489" t="s">
        <v>1021</v>
      </c>
      <c r="D489" s="3" t="s">
        <v>72</v>
      </c>
      <c r="E489" s="2">
        <v>37221</v>
      </c>
      <c r="F489" s="2">
        <v>17.8</v>
      </c>
      <c r="G489" s="4">
        <v>60</v>
      </c>
      <c r="H489" t="s">
        <v>315</v>
      </c>
      <c r="I489" t="s">
        <v>27</v>
      </c>
      <c r="J489" t="s">
        <v>32</v>
      </c>
      <c r="K489" s="2">
        <v>45735</v>
      </c>
      <c r="L489" t="s">
        <v>29</v>
      </c>
      <c r="M489" s="2">
        <v>0.5</v>
      </c>
      <c r="N489" s="2">
        <v>0.92</v>
      </c>
      <c r="O489" s="2">
        <v>0</v>
      </c>
      <c r="P489" s="2">
        <v>0</v>
      </c>
      <c r="Q489">
        <f t="shared" si="28"/>
        <v>40457.608695652169</v>
      </c>
      <c r="R489">
        <f t="shared" ca="1" si="29"/>
        <v>35</v>
      </c>
      <c r="S489" s="2">
        <f t="shared" si="30"/>
        <v>-37221</v>
      </c>
      <c r="T489" s="18">
        <v>0.1</v>
      </c>
      <c r="U489">
        <f t="shared" si="31"/>
        <v>-40943.100000000006</v>
      </c>
    </row>
    <row r="490" spans="1:21" x14ac:dyDescent="0.3">
      <c r="A490" t="s">
        <v>1022</v>
      </c>
      <c r="B490" s="1">
        <v>44276</v>
      </c>
      <c r="C490" t="s">
        <v>1023</v>
      </c>
      <c r="D490" s="3" t="s">
        <v>46</v>
      </c>
      <c r="E490" s="2">
        <v>34723</v>
      </c>
      <c r="F490" s="2">
        <v>18.5</v>
      </c>
      <c r="G490" s="4">
        <v>60</v>
      </c>
      <c r="H490" t="s">
        <v>315</v>
      </c>
      <c r="I490" t="s">
        <v>57</v>
      </c>
      <c r="J490" t="s">
        <v>47</v>
      </c>
      <c r="K490" s="2">
        <v>45830</v>
      </c>
      <c r="L490" t="s">
        <v>33</v>
      </c>
      <c r="M490" s="2">
        <v>0.23</v>
      </c>
      <c r="N490" s="2">
        <v>0.52</v>
      </c>
      <c r="O490" s="2">
        <v>0</v>
      </c>
      <c r="P490" s="2">
        <v>0</v>
      </c>
      <c r="Q490">
        <f t="shared" si="28"/>
        <v>66775</v>
      </c>
      <c r="R490">
        <f t="shared" ca="1" si="29"/>
        <v>59</v>
      </c>
      <c r="S490" s="2">
        <f t="shared" si="30"/>
        <v>-34723</v>
      </c>
      <c r="T490" s="18">
        <v>0.1</v>
      </c>
      <c r="U490">
        <f t="shared" si="31"/>
        <v>-38195.300000000003</v>
      </c>
    </row>
    <row r="491" spans="1:21" x14ac:dyDescent="0.3">
      <c r="A491" t="s">
        <v>1024</v>
      </c>
      <c r="B491" s="1">
        <v>45082</v>
      </c>
      <c r="C491" t="s">
        <v>1025</v>
      </c>
      <c r="D491" s="3" t="s">
        <v>76</v>
      </c>
      <c r="E491" s="2">
        <v>16282</v>
      </c>
      <c r="F491" s="2">
        <v>7.6</v>
      </c>
      <c r="G491" s="4">
        <v>36</v>
      </c>
      <c r="H491" t="s">
        <v>19</v>
      </c>
      <c r="I491" t="s">
        <v>36</v>
      </c>
      <c r="J491" t="s">
        <v>47</v>
      </c>
      <c r="K491" s="2">
        <v>77893</v>
      </c>
      <c r="L491" t="s">
        <v>33</v>
      </c>
      <c r="M491" s="2">
        <v>0.26</v>
      </c>
      <c r="N491" s="2">
        <v>0.75</v>
      </c>
      <c r="O491" s="2">
        <v>17519.43</v>
      </c>
      <c r="P491" s="2">
        <v>0</v>
      </c>
      <c r="Q491">
        <f t="shared" si="28"/>
        <v>21709.333333333332</v>
      </c>
      <c r="R491">
        <f t="shared" ca="1" si="29"/>
        <v>33</v>
      </c>
      <c r="S491" s="2">
        <f t="shared" si="30"/>
        <v>1237.4300000000003</v>
      </c>
      <c r="T491" s="18">
        <v>0.1</v>
      </c>
      <c r="U491">
        <f t="shared" si="31"/>
        <v>1361.1730000000005</v>
      </c>
    </row>
    <row r="492" spans="1:21" x14ac:dyDescent="0.3">
      <c r="A492" t="s">
        <v>1026</v>
      </c>
      <c r="B492" s="1">
        <v>44399</v>
      </c>
      <c r="C492" t="s">
        <v>1027</v>
      </c>
      <c r="D492" s="3" t="s">
        <v>76</v>
      </c>
      <c r="E492" s="2">
        <v>5703</v>
      </c>
      <c r="F492" s="2">
        <v>9.6999999999999993</v>
      </c>
      <c r="G492" s="4">
        <v>36</v>
      </c>
      <c r="H492" t="s">
        <v>19</v>
      </c>
      <c r="I492" t="s">
        <v>36</v>
      </c>
      <c r="J492" t="s">
        <v>37</v>
      </c>
      <c r="K492" s="2">
        <v>74673</v>
      </c>
      <c r="L492" t="s">
        <v>22</v>
      </c>
      <c r="M492" s="2">
        <v>0.34</v>
      </c>
      <c r="N492" s="2">
        <v>0.9</v>
      </c>
      <c r="O492" s="2">
        <v>6256.19</v>
      </c>
      <c r="P492" s="2">
        <v>0</v>
      </c>
      <c r="Q492">
        <f t="shared" si="28"/>
        <v>6336.6666666666661</v>
      </c>
      <c r="R492">
        <f t="shared" ca="1" si="29"/>
        <v>55</v>
      </c>
      <c r="S492" s="2">
        <f t="shared" si="30"/>
        <v>553.1899999999996</v>
      </c>
      <c r="T492" s="18">
        <v>0.1</v>
      </c>
      <c r="U492">
        <f t="shared" si="31"/>
        <v>608.50899999999956</v>
      </c>
    </row>
    <row r="493" spans="1:21" x14ac:dyDescent="0.3">
      <c r="A493" t="s">
        <v>1028</v>
      </c>
      <c r="B493" s="1">
        <v>44960</v>
      </c>
      <c r="C493" t="s">
        <v>1029</v>
      </c>
      <c r="D493" s="3" t="s">
        <v>53</v>
      </c>
      <c r="E493" s="2">
        <v>7563</v>
      </c>
      <c r="F493" s="2">
        <v>20.7</v>
      </c>
      <c r="G493" s="4">
        <v>60</v>
      </c>
      <c r="H493" t="s">
        <v>19</v>
      </c>
      <c r="I493" t="s">
        <v>41</v>
      </c>
      <c r="J493" t="s">
        <v>32</v>
      </c>
      <c r="K493" s="2">
        <v>119462</v>
      </c>
      <c r="L493" t="s">
        <v>22</v>
      </c>
      <c r="M493" s="2">
        <v>0.42</v>
      </c>
      <c r="N493" s="2">
        <v>0.62</v>
      </c>
      <c r="O493" s="2">
        <v>9128.5400000000009</v>
      </c>
      <c r="P493" s="2">
        <v>0</v>
      </c>
      <c r="Q493">
        <f t="shared" si="28"/>
        <v>12198.387096774193</v>
      </c>
      <c r="R493">
        <f t="shared" ca="1" si="29"/>
        <v>37</v>
      </c>
      <c r="S493" s="2">
        <f t="shared" si="30"/>
        <v>1565.5400000000009</v>
      </c>
      <c r="T493" s="18">
        <v>0.1</v>
      </c>
      <c r="U493">
        <f t="shared" si="31"/>
        <v>1722.0940000000012</v>
      </c>
    </row>
    <row r="494" spans="1:21" x14ac:dyDescent="0.3">
      <c r="A494" t="s">
        <v>1030</v>
      </c>
      <c r="B494" s="1">
        <v>44243</v>
      </c>
      <c r="C494" t="s">
        <v>1031</v>
      </c>
      <c r="D494" s="3" t="s">
        <v>53</v>
      </c>
      <c r="E494" s="2">
        <v>26849</v>
      </c>
      <c r="F494" s="2">
        <v>24.4</v>
      </c>
      <c r="G494" s="4">
        <v>36</v>
      </c>
      <c r="H494" t="s">
        <v>26</v>
      </c>
      <c r="I494" t="s">
        <v>57</v>
      </c>
      <c r="J494" t="s">
        <v>32</v>
      </c>
      <c r="K494" s="2">
        <v>75066</v>
      </c>
      <c r="L494" t="s">
        <v>22</v>
      </c>
      <c r="M494" s="2">
        <v>0.28999999999999998</v>
      </c>
      <c r="N494" s="2">
        <v>0.71</v>
      </c>
      <c r="O494" s="2">
        <v>2888.35</v>
      </c>
      <c r="P494" s="2">
        <v>0</v>
      </c>
      <c r="Q494">
        <f t="shared" si="28"/>
        <v>37815.492957746479</v>
      </c>
      <c r="R494">
        <f t="shared" ca="1" si="29"/>
        <v>61</v>
      </c>
      <c r="S494" s="2">
        <f t="shared" si="30"/>
        <v>-23960.65</v>
      </c>
      <c r="T494" s="18">
        <v>0.1</v>
      </c>
      <c r="U494">
        <f t="shared" si="31"/>
        <v>-26356.715000000004</v>
      </c>
    </row>
    <row r="495" spans="1:21" x14ac:dyDescent="0.3">
      <c r="A495" t="s">
        <v>1032</v>
      </c>
      <c r="B495" s="1">
        <v>44852</v>
      </c>
      <c r="C495" t="s">
        <v>1033</v>
      </c>
      <c r="D495" s="3" t="s">
        <v>46</v>
      </c>
      <c r="E495" s="2">
        <v>32860</v>
      </c>
      <c r="F495" s="2">
        <v>10.3</v>
      </c>
      <c r="G495" s="4">
        <v>36</v>
      </c>
      <c r="H495" t="s">
        <v>19</v>
      </c>
      <c r="I495" t="s">
        <v>20</v>
      </c>
      <c r="J495" t="s">
        <v>47</v>
      </c>
      <c r="K495" s="2">
        <v>130315</v>
      </c>
      <c r="L495" t="s">
        <v>22</v>
      </c>
      <c r="M495" s="2">
        <v>0.27</v>
      </c>
      <c r="N495" s="2">
        <v>0.65</v>
      </c>
      <c r="O495" s="2">
        <v>36244.58</v>
      </c>
      <c r="P495" s="2">
        <v>0</v>
      </c>
      <c r="Q495">
        <f t="shared" si="28"/>
        <v>50553.846153846149</v>
      </c>
      <c r="R495">
        <f t="shared" ca="1" si="29"/>
        <v>41</v>
      </c>
      <c r="S495" s="2">
        <f t="shared" si="30"/>
        <v>3384.5800000000017</v>
      </c>
      <c r="T495" s="18">
        <v>0.1</v>
      </c>
      <c r="U495">
        <f t="shared" si="31"/>
        <v>3723.0380000000023</v>
      </c>
    </row>
    <row r="496" spans="1:21" x14ac:dyDescent="0.3">
      <c r="A496" t="s">
        <v>1034</v>
      </c>
      <c r="B496" s="1">
        <v>44667</v>
      </c>
      <c r="C496" t="s">
        <v>1035</v>
      </c>
      <c r="D496" s="3" t="s">
        <v>25</v>
      </c>
      <c r="E496" s="2">
        <v>32585</v>
      </c>
      <c r="F496" s="2">
        <v>10.4</v>
      </c>
      <c r="G496" s="4">
        <v>60</v>
      </c>
      <c r="H496" t="s">
        <v>60</v>
      </c>
      <c r="I496" t="s">
        <v>73</v>
      </c>
      <c r="J496" t="s">
        <v>32</v>
      </c>
      <c r="K496" s="2">
        <v>33373</v>
      </c>
      <c r="L496" t="s">
        <v>22</v>
      </c>
      <c r="M496" s="2">
        <v>0.5</v>
      </c>
      <c r="N496" s="2">
        <v>0.93</v>
      </c>
      <c r="O496" s="2">
        <v>0</v>
      </c>
      <c r="P496" s="2">
        <v>0</v>
      </c>
      <c r="Q496">
        <f t="shared" si="28"/>
        <v>35037.634408602149</v>
      </c>
      <c r="R496">
        <f t="shared" ca="1" si="29"/>
        <v>47</v>
      </c>
      <c r="S496" s="2">
        <f t="shared" si="30"/>
        <v>-32585</v>
      </c>
      <c r="T496" s="18">
        <v>0.1</v>
      </c>
      <c r="U496">
        <f t="shared" si="31"/>
        <v>-35843.5</v>
      </c>
    </row>
    <row r="497" spans="1:21" x14ac:dyDescent="0.3">
      <c r="A497" t="s">
        <v>1036</v>
      </c>
      <c r="B497" s="1">
        <v>45167</v>
      </c>
      <c r="C497" t="s">
        <v>1037</v>
      </c>
      <c r="D497" s="3" t="s">
        <v>56</v>
      </c>
      <c r="E497" s="2">
        <v>23015</v>
      </c>
      <c r="F497" s="2">
        <v>14.5</v>
      </c>
      <c r="G497" s="4">
        <v>60</v>
      </c>
      <c r="H497" t="s">
        <v>26</v>
      </c>
      <c r="I497" t="s">
        <v>27</v>
      </c>
      <c r="J497" t="s">
        <v>28</v>
      </c>
      <c r="K497" s="2">
        <v>40335</v>
      </c>
      <c r="L497" t="s">
        <v>22</v>
      </c>
      <c r="M497" s="2">
        <v>0.1</v>
      </c>
      <c r="N497" s="2">
        <v>0.87</v>
      </c>
      <c r="O497" s="2">
        <v>11485.91</v>
      </c>
      <c r="P497" s="2">
        <v>0</v>
      </c>
      <c r="Q497">
        <f t="shared" si="28"/>
        <v>26454.022988505749</v>
      </c>
      <c r="R497">
        <f t="shared" ca="1" si="29"/>
        <v>30</v>
      </c>
      <c r="S497" s="2">
        <f t="shared" si="30"/>
        <v>-11529.09</v>
      </c>
      <c r="T497" s="18">
        <v>0.1</v>
      </c>
      <c r="U497">
        <f t="shared" si="31"/>
        <v>-12681.999000000002</v>
      </c>
    </row>
    <row r="498" spans="1:21" x14ac:dyDescent="0.3">
      <c r="A498" t="s">
        <v>1038</v>
      </c>
      <c r="B498" s="1">
        <v>45232</v>
      </c>
      <c r="C498" t="s">
        <v>1039</v>
      </c>
      <c r="D498" s="3" t="s">
        <v>53</v>
      </c>
      <c r="E498" s="2">
        <v>13003</v>
      </c>
      <c r="F498" s="2">
        <v>24.7</v>
      </c>
      <c r="G498" s="4">
        <v>36</v>
      </c>
      <c r="H498" t="s">
        <v>19</v>
      </c>
      <c r="I498" t="s">
        <v>20</v>
      </c>
      <c r="J498" t="s">
        <v>32</v>
      </c>
      <c r="K498" s="2">
        <v>53741</v>
      </c>
      <c r="L498" t="s">
        <v>29</v>
      </c>
      <c r="M498" s="2">
        <v>0.46</v>
      </c>
      <c r="N498" s="2">
        <v>0.82</v>
      </c>
      <c r="O498" s="2">
        <v>16214.74</v>
      </c>
      <c r="P498" s="2">
        <v>0</v>
      </c>
      <c r="Q498">
        <f t="shared" si="28"/>
        <v>15857.317073170732</v>
      </c>
      <c r="R498">
        <f t="shared" ca="1" si="29"/>
        <v>28</v>
      </c>
      <c r="S498" s="2">
        <f t="shared" si="30"/>
        <v>3211.74</v>
      </c>
      <c r="T498" s="18">
        <v>0.1</v>
      </c>
      <c r="U498">
        <f t="shared" si="31"/>
        <v>3532.9140000000002</v>
      </c>
    </row>
    <row r="499" spans="1:21" x14ac:dyDescent="0.3">
      <c r="A499" t="s">
        <v>1040</v>
      </c>
      <c r="B499" s="1">
        <v>44932</v>
      </c>
      <c r="C499" t="s">
        <v>1041</v>
      </c>
      <c r="D499" s="3" t="s">
        <v>72</v>
      </c>
      <c r="E499" s="2">
        <v>27958</v>
      </c>
      <c r="F499" s="2">
        <v>10.4</v>
      </c>
      <c r="G499" s="4">
        <v>36</v>
      </c>
      <c r="H499" t="s">
        <v>19</v>
      </c>
      <c r="I499" t="s">
        <v>84</v>
      </c>
      <c r="J499" t="s">
        <v>32</v>
      </c>
      <c r="K499" s="2">
        <v>40692</v>
      </c>
      <c r="L499" t="s">
        <v>29</v>
      </c>
      <c r="M499" s="2">
        <v>0.16</v>
      </c>
      <c r="N499" s="2">
        <v>0.76</v>
      </c>
      <c r="O499" s="2">
        <v>30865.63</v>
      </c>
      <c r="P499" s="2">
        <v>0</v>
      </c>
      <c r="Q499">
        <f t="shared" si="28"/>
        <v>36786.84210526316</v>
      </c>
      <c r="R499">
        <f t="shared" ca="1" si="29"/>
        <v>38</v>
      </c>
      <c r="S499" s="2">
        <f t="shared" si="30"/>
        <v>2907.630000000001</v>
      </c>
      <c r="T499" s="18">
        <v>0.1</v>
      </c>
      <c r="U499">
        <f t="shared" si="31"/>
        <v>3198.3930000000014</v>
      </c>
    </row>
    <row r="500" spans="1:21" x14ac:dyDescent="0.3">
      <c r="A500" t="s">
        <v>1042</v>
      </c>
      <c r="B500" s="1">
        <v>44980</v>
      </c>
      <c r="C500" t="s">
        <v>1043</v>
      </c>
      <c r="D500" s="3" t="s">
        <v>72</v>
      </c>
      <c r="E500" s="2">
        <v>27017</v>
      </c>
      <c r="F500" s="2">
        <v>13.1</v>
      </c>
      <c r="G500" s="4">
        <v>36</v>
      </c>
      <c r="H500" t="s">
        <v>26</v>
      </c>
      <c r="I500" t="s">
        <v>20</v>
      </c>
      <c r="J500" t="s">
        <v>32</v>
      </c>
      <c r="K500" s="2">
        <v>77295</v>
      </c>
      <c r="L500" t="s">
        <v>22</v>
      </c>
      <c r="M500" s="2">
        <v>0.41</v>
      </c>
      <c r="N500" s="2">
        <v>0.87</v>
      </c>
      <c r="O500" s="2">
        <v>4494.63</v>
      </c>
      <c r="P500" s="2">
        <v>0</v>
      </c>
      <c r="Q500">
        <f t="shared" si="28"/>
        <v>31054.022988505749</v>
      </c>
      <c r="R500">
        <f t="shared" ca="1" si="29"/>
        <v>36</v>
      </c>
      <c r="S500" s="2">
        <f t="shared" si="30"/>
        <v>-22522.37</v>
      </c>
      <c r="T500" s="18">
        <v>0.1</v>
      </c>
      <c r="U500">
        <f t="shared" si="31"/>
        <v>-24774.607</v>
      </c>
    </row>
    <row r="501" spans="1:21" x14ac:dyDescent="0.3">
      <c r="A501" t="s">
        <v>1044</v>
      </c>
      <c r="B501" s="1">
        <v>45164</v>
      </c>
      <c r="C501" t="s">
        <v>1045</v>
      </c>
      <c r="D501" s="3" t="s">
        <v>56</v>
      </c>
      <c r="E501" s="2">
        <v>12171</v>
      </c>
      <c r="F501" s="2">
        <v>22.8</v>
      </c>
      <c r="G501" s="4">
        <v>60</v>
      </c>
      <c r="H501" t="s">
        <v>19</v>
      </c>
      <c r="I501" t="s">
        <v>73</v>
      </c>
      <c r="J501" t="s">
        <v>21</v>
      </c>
      <c r="K501" s="2">
        <v>75541</v>
      </c>
      <c r="L501" t="s">
        <v>29</v>
      </c>
      <c r="M501" s="2">
        <v>0.35</v>
      </c>
      <c r="N501" s="2">
        <v>0.68</v>
      </c>
      <c r="O501" s="2">
        <v>14945.99</v>
      </c>
      <c r="P501" s="2">
        <v>0</v>
      </c>
      <c r="Q501">
        <f t="shared" si="28"/>
        <v>17898.529411764706</v>
      </c>
      <c r="R501">
        <f t="shared" ca="1" si="29"/>
        <v>30</v>
      </c>
      <c r="S501" s="2">
        <f t="shared" si="30"/>
        <v>2774.99</v>
      </c>
      <c r="T501" s="18">
        <v>0.1</v>
      </c>
      <c r="U501">
        <f t="shared" si="31"/>
        <v>3052.489</v>
      </c>
    </row>
    <row r="502" spans="1:21" x14ac:dyDescent="0.3">
      <c r="A502" t="s">
        <v>1046</v>
      </c>
      <c r="B502" s="1">
        <v>44554</v>
      </c>
      <c r="C502" t="s">
        <v>1047</v>
      </c>
      <c r="D502" s="3" t="s">
        <v>65</v>
      </c>
      <c r="E502" s="2">
        <v>13201</v>
      </c>
      <c r="F502" s="2">
        <v>5.0999999999999996</v>
      </c>
      <c r="G502" s="4">
        <v>36</v>
      </c>
      <c r="H502" t="s">
        <v>26</v>
      </c>
      <c r="I502" t="s">
        <v>57</v>
      </c>
      <c r="J502" t="s">
        <v>21</v>
      </c>
      <c r="K502" s="2">
        <v>64057</v>
      </c>
      <c r="L502" t="s">
        <v>22</v>
      </c>
      <c r="M502" s="2">
        <v>0.24</v>
      </c>
      <c r="N502" s="2">
        <v>0.7</v>
      </c>
      <c r="O502" s="2">
        <v>4962.1499999999996</v>
      </c>
      <c r="P502" s="2">
        <v>0</v>
      </c>
      <c r="Q502">
        <f t="shared" si="28"/>
        <v>18858.571428571431</v>
      </c>
      <c r="R502">
        <f t="shared" ca="1" si="29"/>
        <v>50</v>
      </c>
      <c r="S502" s="2">
        <f t="shared" si="30"/>
        <v>-8238.85</v>
      </c>
      <c r="T502" s="18">
        <v>0.1</v>
      </c>
      <c r="U502">
        <f t="shared" si="31"/>
        <v>-9062.7350000000006</v>
      </c>
    </row>
    <row r="503" spans="1:21" x14ac:dyDescent="0.3">
      <c r="A503" t="s">
        <v>1048</v>
      </c>
      <c r="B503" s="1">
        <v>45168</v>
      </c>
      <c r="C503" t="s">
        <v>1049</v>
      </c>
      <c r="D503" s="3" t="s">
        <v>65</v>
      </c>
      <c r="E503" s="2">
        <v>30426</v>
      </c>
      <c r="F503" s="2">
        <v>5.8</v>
      </c>
      <c r="G503" s="4">
        <v>36</v>
      </c>
      <c r="H503" t="s">
        <v>19</v>
      </c>
      <c r="I503" t="s">
        <v>27</v>
      </c>
      <c r="J503" t="s">
        <v>21</v>
      </c>
      <c r="K503" s="2">
        <v>96983</v>
      </c>
      <c r="L503" t="s">
        <v>29</v>
      </c>
      <c r="M503" s="2">
        <v>0.45</v>
      </c>
      <c r="N503" s="2">
        <v>0.83</v>
      </c>
      <c r="O503" s="2">
        <v>32190.71</v>
      </c>
      <c r="P503" s="2">
        <v>0</v>
      </c>
      <c r="Q503">
        <f t="shared" si="28"/>
        <v>36657.831325301209</v>
      </c>
      <c r="R503">
        <f t="shared" ca="1" si="29"/>
        <v>30</v>
      </c>
      <c r="S503" s="2">
        <f t="shared" si="30"/>
        <v>1764.7099999999991</v>
      </c>
      <c r="T503" s="18">
        <v>0.1</v>
      </c>
      <c r="U503">
        <f t="shared" si="31"/>
        <v>1941.1809999999991</v>
      </c>
    </row>
    <row r="504" spans="1:21" x14ac:dyDescent="0.3">
      <c r="A504" t="s">
        <v>1050</v>
      </c>
      <c r="B504" s="1">
        <v>44864</v>
      </c>
      <c r="C504" t="s">
        <v>1051</v>
      </c>
      <c r="D504" s="3" t="s">
        <v>76</v>
      </c>
      <c r="E504" s="2">
        <v>18778</v>
      </c>
      <c r="F504" s="2">
        <v>17.100000000000001</v>
      </c>
      <c r="G504" s="4">
        <v>60</v>
      </c>
      <c r="H504" t="s">
        <v>19</v>
      </c>
      <c r="I504" t="s">
        <v>57</v>
      </c>
      <c r="J504" t="s">
        <v>32</v>
      </c>
      <c r="K504" s="2">
        <v>49583</v>
      </c>
      <c r="L504" t="s">
        <v>33</v>
      </c>
      <c r="M504" s="2">
        <v>0.11</v>
      </c>
      <c r="N504" s="2">
        <v>0.66</v>
      </c>
      <c r="O504" s="2">
        <v>21989.040000000001</v>
      </c>
      <c r="P504" s="2">
        <v>0</v>
      </c>
      <c r="Q504">
        <f t="shared" si="28"/>
        <v>28451.515151515152</v>
      </c>
      <c r="R504">
        <f t="shared" ca="1" si="29"/>
        <v>40</v>
      </c>
      <c r="S504" s="2">
        <f t="shared" si="30"/>
        <v>3211.0400000000009</v>
      </c>
      <c r="T504" s="18">
        <v>0.1</v>
      </c>
      <c r="U504">
        <f t="shared" si="31"/>
        <v>3532.1440000000011</v>
      </c>
    </row>
    <row r="505" spans="1:21" x14ac:dyDescent="0.3">
      <c r="A505" t="s">
        <v>1052</v>
      </c>
      <c r="B505" s="1">
        <v>44569</v>
      </c>
      <c r="C505" t="s">
        <v>1053</v>
      </c>
      <c r="D505" s="3" t="s">
        <v>53</v>
      </c>
      <c r="E505" s="2">
        <v>22116</v>
      </c>
      <c r="F505" s="2">
        <v>23.1</v>
      </c>
      <c r="G505" s="4">
        <v>60</v>
      </c>
      <c r="H505" t="s">
        <v>19</v>
      </c>
      <c r="I505" t="s">
        <v>84</v>
      </c>
      <c r="J505" t="s">
        <v>28</v>
      </c>
      <c r="K505" s="2">
        <v>52765</v>
      </c>
      <c r="L505" t="s">
        <v>29</v>
      </c>
      <c r="M505" s="2">
        <v>0.19</v>
      </c>
      <c r="N505" s="2">
        <v>0.53</v>
      </c>
      <c r="O505" s="2">
        <v>27224.799999999999</v>
      </c>
      <c r="P505" s="2">
        <v>0</v>
      </c>
      <c r="Q505">
        <f t="shared" si="28"/>
        <v>41728.301886792447</v>
      </c>
      <c r="R505">
        <f t="shared" ca="1" si="29"/>
        <v>50</v>
      </c>
      <c r="S505" s="2">
        <f t="shared" si="30"/>
        <v>5108.7999999999993</v>
      </c>
      <c r="T505" s="18">
        <v>0.1</v>
      </c>
      <c r="U505">
        <f t="shared" si="31"/>
        <v>5619.6799999999994</v>
      </c>
    </row>
    <row r="506" spans="1:21" x14ac:dyDescent="0.3">
      <c r="A506" t="s">
        <v>1054</v>
      </c>
      <c r="B506" s="1">
        <v>45228</v>
      </c>
      <c r="C506" t="s">
        <v>1055</v>
      </c>
      <c r="D506" s="3" t="s">
        <v>18</v>
      </c>
      <c r="E506" s="2">
        <v>34297</v>
      </c>
      <c r="F506" s="2">
        <v>9.8000000000000007</v>
      </c>
      <c r="G506" s="4">
        <v>36</v>
      </c>
      <c r="H506" t="s">
        <v>26</v>
      </c>
      <c r="I506" t="s">
        <v>73</v>
      </c>
      <c r="J506" t="s">
        <v>32</v>
      </c>
      <c r="K506" s="2">
        <v>89287</v>
      </c>
      <c r="L506" t="s">
        <v>29</v>
      </c>
      <c r="M506" s="2">
        <v>0.33</v>
      </c>
      <c r="N506" s="2">
        <v>0.53</v>
      </c>
      <c r="O506" s="2">
        <v>15729.14</v>
      </c>
      <c r="P506" s="2">
        <v>0</v>
      </c>
      <c r="Q506">
        <f t="shared" si="28"/>
        <v>64711.32075471698</v>
      </c>
      <c r="R506">
        <f t="shared" ca="1" si="29"/>
        <v>28</v>
      </c>
      <c r="S506" s="2">
        <f t="shared" si="30"/>
        <v>-18567.86</v>
      </c>
      <c r="T506" s="18">
        <v>0.1</v>
      </c>
      <c r="U506">
        <f t="shared" si="31"/>
        <v>-20424.646000000001</v>
      </c>
    </row>
    <row r="507" spans="1:21" x14ac:dyDescent="0.3">
      <c r="A507" t="s">
        <v>1056</v>
      </c>
      <c r="B507" s="1">
        <v>44872</v>
      </c>
      <c r="C507" t="s">
        <v>1057</v>
      </c>
      <c r="D507" s="3" t="s">
        <v>46</v>
      </c>
      <c r="E507" s="2">
        <v>20342</v>
      </c>
      <c r="F507" s="2">
        <v>14.4</v>
      </c>
      <c r="G507" s="4">
        <v>60</v>
      </c>
      <c r="H507" t="s">
        <v>19</v>
      </c>
      <c r="I507" t="s">
        <v>84</v>
      </c>
      <c r="J507" t="s">
        <v>47</v>
      </c>
      <c r="K507" s="2">
        <v>53906</v>
      </c>
      <c r="L507" t="s">
        <v>29</v>
      </c>
      <c r="M507" s="2">
        <v>0.24</v>
      </c>
      <c r="N507" s="2">
        <v>0.55000000000000004</v>
      </c>
      <c r="O507" s="2">
        <v>23271.25</v>
      </c>
      <c r="P507" s="2">
        <v>0</v>
      </c>
      <c r="Q507">
        <f t="shared" si="28"/>
        <v>36985.454545454544</v>
      </c>
      <c r="R507">
        <f t="shared" ca="1" si="29"/>
        <v>40</v>
      </c>
      <c r="S507" s="2">
        <f t="shared" si="30"/>
        <v>2929.25</v>
      </c>
      <c r="T507" s="18">
        <v>0.1</v>
      </c>
      <c r="U507">
        <f t="shared" si="31"/>
        <v>3222.1750000000002</v>
      </c>
    </row>
    <row r="508" spans="1:21" x14ac:dyDescent="0.3">
      <c r="A508" t="s">
        <v>1058</v>
      </c>
      <c r="B508" s="1">
        <v>44286</v>
      </c>
      <c r="C508" t="s">
        <v>1059</v>
      </c>
      <c r="D508" s="3" t="s">
        <v>50</v>
      </c>
      <c r="E508" s="2">
        <v>28490</v>
      </c>
      <c r="F508" s="2">
        <v>14</v>
      </c>
      <c r="G508" s="4">
        <v>60</v>
      </c>
      <c r="H508" t="s">
        <v>26</v>
      </c>
      <c r="I508" t="s">
        <v>41</v>
      </c>
      <c r="J508" t="s">
        <v>28</v>
      </c>
      <c r="K508" s="2">
        <v>115103</v>
      </c>
      <c r="L508" t="s">
        <v>33</v>
      </c>
      <c r="M508" s="2">
        <v>0.34</v>
      </c>
      <c r="N508" s="2">
        <v>0.89</v>
      </c>
      <c r="O508" s="2">
        <v>4446.13</v>
      </c>
      <c r="P508" s="2">
        <v>0</v>
      </c>
      <c r="Q508">
        <f t="shared" si="28"/>
        <v>32011.235955056178</v>
      </c>
      <c r="R508">
        <f t="shared" ca="1" si="29"/>
        <v>59</v>
      </c>
      <c r="S508" s="2">
        <f t="shared" si="30"/>
        <v>-24043.87</v>
      </c>
      <c r="T508" s="18">
        <v>0.1</v>
      </c>
      <c r="U508">
        <f t="shared" si="31"/>
        <v>-26448.257000000001</v>
      </c>
    </row>
    <row r="509" spans="1:21" x14ac:dyDescent="0.3">
      <c r="A509" t="s">
        <v>1060</v>
      </c>
      <c r="B509" s="1">
        <v>44894</v>
      </c>
      <c r="C509" t="s">
        <v>1061</v>
      </c>
      <c r="D509" s="3" t="s">
        <v>56</v>
      </c>
      <c r="E509" s="2">
        <v>20975</v>
      </c>
      <c r="F509" s="2">
        <v>14.5</v>
      </c>
      <c r="G509" s="4">
        <v>36</v>
      </c>
      <c r="H509" t="s">
        <v>19</v>
      </c>
      <c r="I509" t="s">
        <v>27</v>
      </c>
      <c r="J509" t="s">
        <v>21</v>
      </c>
      <c r="K509" s="2">
        <v>109675</v>
      </c>
      <c r="L509" t="s">
        <v>22</v>
      </c>
      <c r="M509" s="2">
        <v>0.11</v>
      </c>
      <c r="N509" s="2">
        <v>0.71</v>
      </c>
      <c r="O509" s="2">
        <v>24016.38</v>
      </c>
      <c r="P509" s="2">
        <v>0</v>
      </c>
      <c r="Q509">
        <f t="shared" si="28"/>
        <v>29542.25352112676</v>
      </c>
      <c r="R509">
        <f t="shared" ca="1" si="29"/>
        <v>39</v>
      </c>
      <c r="S509" s="2">
        <f t="shared" si="30"/>
        <v>3041.380000000001</v>
      </c>
      <c r="T509" s="18">
        <v>0.1</v>
      </c>
      <c r="U509">
        <f t="shared" si="31"/>
        <v>3345.5180000000014</v>
      </c>
    </row>
    <row r="510" spans="1:21" x14ac:dyDescent="0.3">
      <c r="A510" t="s">
        <v>1062</v>
      </c>
      <c r="B510" s="1">
        <v>44736</v>
      </c>
      <c r="C510" t="s">
        <v>1063</v>
      </c>
      <c r="D510" s="3" t="s">
        <v>76</v>
      </c>
      <c r="E510" s="2">
        <v>27723</v>
      </c>
      <c r="F510" s="2">
        <v>17.5</v>
      </c>
      <c r="G510" s="4">
        <v>60</v>
      </c>
      <c r="H510" t="s">
        <v>26</v>
      </c>
      <c r="I510" t="s">
        <v>41</v>
      </c>
      <c r="J510" t="s">
        <v>37</v>
      </c>
      <c r="K510" s="2">
        <v>76525</v>
      </c>
      <c r="L510" t="s">
        <v>29</v>
      </c>
      <c r="M510" s="2">
        <v>0.15</v>
      </c>
      <c r="N510" s="2">
        <v>0.82</v>
      </c>
      <c r="O510" s="2">
        <v>12716.99</v>
      </c>
      <c r="P510" s="2">
        <v>0</v>
      </c>
      <c r="Q510">
        <f t="shared" si="28"/>
        <v>33808.536585365859</v>
      </c>
      <c r="R510">
        <f t="shared" ca="1" si="29"/>
        <v>44</v>
      </c>
      <c r="S510" s="2">
        <f t="shared" si="30"/>
        <v>-15006.01</v>
      </c>
      <c r="T510" s="18">
        <v>0.1</v>
      </c>
      <c r="U510">
        <f t="shared" si="31"/>
        <v>-16506.611000000001</v>
      </c>
    </row>
    <row r="511" spans="1:21" x14ac:dyDescent="0.3">
      <c r="A511" t="s">
        <v>1064</v>
      </c>
      <c r="B511" s="1">
        <v>44928</v>
      </c>
      <c r="C511" t="s">
        <v>1065</v>
      </c>
      <c r="D511" s="3" t="s">
        <v>18</v>
      </c>
      <c r="E511" s="2">
        <v>24279</v>
      </c>
      <c r="F511" s="2">
        <v>14.4</v>
      </c>
      <c r="G511" s="4">
        <v>60</v>
      </c>
      <c r="H511" t="s">
        <v>26</v>
      </c>
      <c r="I511" t="s">
        <v>20</v>
      </c>
      <c r="J511" t="s">
        <v>28</v>
      </c>
      <c r="K511" s="2">
        <v>68230</v>
      </c>
      <c r="L511" t="s">
        <v>29</v>
      </c>
      <c r="M511" s="2">
        <v>0.15</v>
      </c>
      <c r="N511" s="2">
        <v>0.68</v>
      </c>
      <c r="O511" s="2">
        <v>4595.21</v>
      </c>
      <c r="P511" s="2">
        <v>0</v>
      </c>
      <c r="Q511">
        <f t="shared" si="28"/>
        <v>35704.411764705881</v>
      </c>
      <c r="R511">
        <f t="shared" ca="1" si="29"/>
        <v>38</v>
      </c>
      <c r="S511" s="2">
        <f t="shared" si="30"/>
        <v>-19683.79</v>
      </c>
      <c r="T511" s="18">
        <v>0.1</v>
      </c>
      <c r="U511">
        <f t="shared" si="31"/>
        <v>-21652.169000000002</v>
      </c>
    </row>
    <row r="512" spans="1:21" x14ac:dyDescent="0.3">
      <c r="A512" t="s">
        <v>1066</v>
      </c>
      <c r="B512" s="1">
        <v>45065</v>
      </c>
      <c r="C512" t="s">
        <v>1067</v>
      </c>
      <c r="D512" s="3" t="s">
        <v>53</v>
      </c>
      <c r="E512" s="2">
        <v>13765</v>
      </c>
      <c r="F512" s="2">
        <v>13.9</v>
      </c>
      <c r="G512" s="4">
        <v>36</v>
      </c>
      <c r="H512" t="s">
        <v>19</v>
      </c>
      <c r="I512" t="s">
        <v>57</v>
      </c>
      <c r="J512" t="s">
        <v>21</v>
      </c>
      <c r="K512" s="2">
        <v>147904</v>
      </c>
      <c r="L512" t="s">
        <v>33</v>
      </c>
      <c r="M512" s="2">
        <v>0.18</v>
      </c>
      <c r="N512" s="2">
        <v>0.62</v>
      </c>
      <c r="O512" s="2">
        <v>15678.34</v>
      </c>
      <c r="P512" s="2">
        <v>0</v>
      </c>
      <c r="Q512">
        <f t="shared" si="28"/>
        <v>22201.612903225807</v>
      </c>
      <c r="R512">
        <f t="shared" ca="1" si="29"/>
        <v>34</v>
      </c>
      <c r="S512" s="2">
        <f t="shared" si="30"/>
        <v>1913.3400000000001</v>
      </c>
      <c r="T512" s="18">
        <v>0.1</v>
      </c>
      <c r="U512">
        <f t="shared" si="31"/>
        <v>2104.6740000000004</v>
      </c>
    </row>
    <row r="513" spans="1:21" x14ac:dyDescent="0.3">
      <c r="A513" t="s">
        <v>1068</v>
      </c>
      <c r="B513" s="1">
        <v>44237</v>
      </c>
      <c r="C513" t="s">
        <v>1069</v>
      </c>
      <c r="D513" s="3" t="s">
        <v>18</v>
      </c>
      <c r="E513" s="2">
        <v>12561</v>
      </c>
      <c r="F513" s="2">
        <v>14.5</v>
      </c>
      <c r="G513" s="4">
        <v>60</v>
      </c>
      <c r="H513" t="s">
        <v>26</v>
      </c>
      <c r="I513" t="s">
        <v>20</v>
      </c>
      <c r="J513" t="s">
        <v>28</v>
      </c>
      <c r="K513" s="2">
        <v>49520</v>
      </c>
      <c r="L513" t="s">
        <v>22</v>
      </c>
      <c r="M513" s="2">
        <v>0.28000000000000003</v>
      </c>
      <c r="N513" s="2">
        <v>0.66</v>
      </c>
      <c r="O513" s="2">
        <v>6147.18</v>
      </c>
      <c r="P513" s="2">
        <v>0</v>
      </c>
      <c r="Q513">
        <f t="shared" si="28"/>
        <v>19031.81818181818</v>
      </c>
      <c r="R513">
        <f t="shared" ca="1" si="29"/>
        <v>61</v>
      </c>
      <c r="S513" s="2">
        <f t="shared" si="30"/>
        <v>-6413.82</v>
      </c>
      <c r="T513" s="18">
        <v>0.1</v>
      </c>
      <c r="U513">
        <f t="shared" si="31"/>
        <v>-7055.2020000000002</v>
      </c>
    </row>
    <row r="514" spans="1:21" x14ac:dyDescent="0.3">
      <c r="A514" t="s">
        <v>1070</v>
      </c>
      <c r="B514" s="1">
        <v>44936</v>
      </c>
      <c r="C514" t="s">
        <v>1071</v>
      </c>
      <c r="D514" s="3" t="s">
        <v>18</v>
      </c>
      <c r="E514" s="2">
        <v>1525</v>
      </c>
      <c r="F514" s="2">
        <v>16.8</v>
      </c>
      <c r="G514" s="4">
        <v>36</v>
      </c>
      <c r="H514" t="s">
        <v>19</v>
      </c>
      <c r="I514" t="s">
        <v>57</v>
      </c>
      <c r="J514" t="s">
        <v>28</v>
      </c>
      <c r="K514" s="2">
        <v>115238</v>
      </c>
      <c r="L514" t="s">
        <v>29</v>
      </c>
      <c r="M514" s="2">
        <v>0.4</v>
      </c>
      <c r="N514" s="2">
        <v>0.86</v>
      </c>
      <c r="O514" s="2">
        <v>1781.2</v>
      </c>
      <c r="P514" s="2">
        <v>0</v>
      </c>
      <c r="Q514">
        <f t="shared" si="28"/>
        <v>1773.2558139534883</v>
      </c>
      <c r="R514">
        <f t="shared" ca="1" si="29"/>
        <v>38</v>
      </c>
      <c r="S514" s="2">
        <f t="shared" si="30"/>
        <v>256.20000000000005</v>
      </c>
      <c r="T514" s="18">
        <v>0.1</v>
      </c>
      <c r="U514">
        <f t="shared" si="31"/>
        <v>281.82000000000005</v>
      </c>
    </row>
    <row r="515" spans="1:21" x14ac:dyDescent="0.3">
      <c r="A515" t="s">
        <v>1072</v>
      </c>
      <c r="B515" s="1">
        <v>44698</v>
      </c>
      <c r="C515" t="s">
        <v>1073</v>
      </c>
      <c r="D515" s="3" t="s">
        <v>56</v>
      </c>
      <c r="E515" s="2">
        <v>23861</v>
      </c>
      <c r="F515" s="2">
        <v>15.7</v>
      </c>
      <c r="G515" s="4">
        <v>36</v>
      </c>
      <c r="H515" t="s">
        <v>19</v>
      </c>
      <c r="I515" t="s">
        <v>84</v>
      </c>
      <c r="J515" t="s">
        <v>32</v>
      </c>
      <c r="K515" s="2">
        <v>81934</v>
      </c>
      <c r="L515" t="s">
        <v>33</v>
      </c>
      <c r="M515" s="2">
        <v>0.46</v>
      </c>
      <c r="N515" s="2">
        <v>0.78</v>
      </c>
      <c r="O515" s="2">
        <v>27607.18</v>
      </c>
      <c r="P515" s="2">
        <v>0</v>
      </c>
      <c r="Q515">
        <f t="shared" ref="Q515:Q578" si="32">E515/N515</f>
        <v>30591.025641025641</v>
      </c>
      <c r="R515">
        <f t="shared" ref="R515:R578" ca="1" si="33">DATEDIF(B515, TODAY(), "M")</f>
        <v>46</v>
      </c>
      <c r="S515" s="2">
        <f t="shared" ref="S515:S578" si="34">(O515+P515)-E515</f>
        <v>3746.1800000000003</v>
      </c>
      <c r="T515" s="18">
        <v>0.1</v>
      </c>
      <c r="U515">
        <f t="shared" ref="U515:U578" si="35">S515*(1+T515)</f>
        <v>4120.7980000000007</v>
      </c>
    </row>
    <row r="516" spans="1:21" x14ac:dyDescent="0.3">
      <c r="A516" t="s">
        <v>1074</v>
      </c>
      <c r="B516" s="1">
        <v>45155</v>
      </c>
      <c r="C516" t="s">
        <v>1075</v>
      </c>
      <c r="D516" s="3" t="s">
        <v>76</v>
      </c>
      <c r="E516" s="2">
        <v>34142</v>
      </c>
      <c r="F516" s="2">
        <v>22.1</v>
      </c>
      <c r="G516" s="4">
        <v>60</v>
      </c>
      <c r="H516" t="s">
        <v>19</v>
      </c>
      <c r="I516" t="s">
        <v>20</v>
      </c>
      <c r="J516" t="s">
        <v>47</v>
      </c>
      <c r="K516" s="2">
        <v>55566</v>
      </c>
      <c r="L516" t="s">
        <v>22</v>
      </c>
      <c r="M516" s="2">
        <v>0.43</v>
      </c>
      <c r="N516" s="2">
        <v>0.92</v>
      </c>
      <c r="O516" s="2">
        <v>41687.379999999997</v>
      </c>
      <c r="P516" s="2">
        <v>0</v>
      </c>
      <c r="Q516">
        <f t="shared" si="32"/>
        <v>37110.869565217392</v>
      </c>
      <c r="R516">
        <f t="shared" ca="1" si="33"/>
        <v>31</v>
      </c>
      <c r="S516" s="2">
        <f t="shared" si="34"/>
        <v>7545.3799999999974</v>
      </c>
      <c r="T516" s="18">
        <v>0.1</v>
      </c>
      <c r="U516">
        <f t="shared" si="35"/>
        <v>8299.9179999999978</v>
      </c>
    </row>
    <row r="517" spans="1:21" x14ac:dyDescent="0.3">
      <c r="A517" t="s">
        <v>1076</v>
      </c>
      <c r="B517" s="1">
        <v>45125</v>
      </c>
      <c r="C517" t="s">
        <v>1077</v>
      </c>
      <c r="D517" s="3" t="s">
        <v>25</v>
      </c>
      <c r="E517" s="2">
        <v>27916</v>
      </c>
      <c r="F517" s="2">
        <v>6</v>
      </c>
      <c r="G517" s="4">
        <v>60</v>
      </c>
      <c r="H517" t="s">
        <v>26</v>
      </c>
      <c r="I517" t="s">
        <v>73</v>
      </c>
      <c r="J517" t="s">
        <v>37</v>
      </c>
      <c r="K517" s="2">
        <v>103193</v>
      </c>
      <c r="L517" t="s">
        <v>22</v>
      </c>
      <c r="M517" s="2">
        <v>0.18</v>
      </c>
      <c r="N517" s="2">
        <v>0.81</v>
      </c>
      <c r="O517" s="2">
        <v>4929.04</v>
      </c>
      <c r="P517" s="2">
        <v>0</v>
      </c>
      <c r="Q517">
        <f t="shared" si="32"/>
        <v>34464.197530864192</v>
      </c>
      <c r="R517">
        <f t="shared" ca="1" si="33"/>
        <v>32</v>
      </c>
      <c r="S517" s="2">
        <f t="shared" si="34"/>
        <v>-22986.959999999999</v>
      </c>
      <c r="T517" s="18">
        <v>0.1</v>
      </c>
      <c r="U517">
        <f t="shared" si="35"/>
        <v>-25285.656000000003</v>
      </c>
    </row>
    <row r="518" spans="1:21" x14ac:dyDescent="0.3">
      <c r="A518" t="s">
        <v>1078</v>
      </c>
      <c r="B518" s="1">
        <v>44657</v>
      </c>
      <c r="C518" t="s">
        <v>1079</v>
      </c>
      <c r="D518" s="3" t="s">
        <v>72</v>
      </c>
      <c r="E518" s="2">
        <v>5648</v>
      </c>
      <c r="F518" s="2">
        <v>21.7</v>
      </c>
      <c r="G518" s="4">
        <v>60</v>
      </c>
      <c r="H518" t="s">
        <v>81</v>
      </c>
      <c r="I518" t="s">
        <v>73</v>
      </c>
      <c r="J518" t="s">
        <v>21</v>
      </c>
      <c r="K518" s="2">
        <v>133224</v>
      </c>
      <c r="L518" t="s">
        <v>29</v>
      </c>
      <c r="M518" s="2">
        <v>0.28000000000000003</v>
      </c>
      <c r="N518" s="2">
        <v>0.76</v>
      </c>
      <c r="O518" s="2">
        <v>2180.3000000000002</v>
      </c>
      <c r="P518" s="2">
        <v>1908.91</v>
      </c>
      <c r="Q518">
        <f t="shared" si="32"/>
        <v>7431.5789473684208</v>
      </c>
      <c r="R518">
        <f t="shared" ca="1" si="33"/>
        <v>47</v>
      </c>
      <c r="S518" s="2">
        <f t="shared" si="34"/>
        <v>-1558.79</v>
      </c>
      <c r="T518" s="18">
        <v>0.1</v>
      </c>
      <c r="U518">
        <f t="shared" si="35"/>
        <v>-1714.6690000000001</v>
      </c>
    </row>
    <row r="519" spans="1:21" x14ac:dyDescent="0.3">
      <c r="A519" t="s">
        <v>1080</v>
      </c>
      <c r="B519" s="1">
        <v>44928</v>
      </c>
      <c r="C519" t="s">
        <v>1081</v>
      </c>
      <c r="D519" s="3" t="s">
        <v>46</v>
      </c>
      <c r="E519" s="2">
        <v>36133</v>
      </c>
      <c r="F519" s="2">
        <v>21.9</v>
      </c>
      <c r="G519" s="4">
        <v>36</v>
      </c>
      <c r="H519" t="s">
        <v>26</v>
      </c>
      <c r="I519" t="s">
        <v>73</v>
      </c>
      <c r="J519" t="s">
        <v>28</v>
      </c>
      <c r="K519" s="2">
        <v>60134</v>
      </c>
      <c r="L519" t="s">
        <v>29</v>
      </c>
      <c r="M519" s="2">
        <v>0.18</v>
      </c>
      <c r="N519" s="2">
        <v>0.77</v>
      </c>
      <c r="O519" s="2">
        <v>2677.28</v>
      </c>
      <c r="P519" s="2">
        <v>0</v>
      </c>
      <c r="Q519">
        <f t="shared" si="32"/>
        <v>46925.974025974028</v>
      </c>
      <c r="R519">
        <f t="shared" ca="1" si="33"/>
        <v>38</v>
      </c>
      <c r="S519" s="2">
        <f t="shared" si="34"/>
        <v>-33455.72</v>
      </c>
      <c r="T519" s="18">
        <v>0.1</v>
      </c>
      <c r="U519">
        <f t="shared" si="35"/>
        <v>-36801.292000000001</v>
      </c>
    </row>
    <row r="520" spans="1:21" x14ac:dyDescent="0.3">
      <c r="A520" t="s">
        <v>1082</v>
      </c>
      <c r="B520" s="1">
        <v>44948</v>
      </c>
      <c r="C520" t="s">
        <v>1083</v>
      </c>
      <c r="D520" s="3" t="s">
        <v>76</v>
      </c>
      <c r="E520" s="2">
        <v>31523</v>
      </c>
      <c r="F520" s="2">
        <v>10.7</v>
      </c>
      <c r="G520" s="4">
        <v>60</v>
      </c>
      <c r="H520" t="s">
        <v>19</v>
      </c>
      <c r="I520" t="s">
        <v>73</v>
      </c>
      <c r="J520" t="s">
        <v>37</v>
      </c>
      <c r="K520" s="2">
        <v>40345</v>
      </c>
      <c r="L520" t="s">
        <v>29</v>
      </c>
      <c r="M520" s="2">
        <v>0.21</v>
      </c>
      <c r="N520" s="2">
        <v>0.92</v>
      </c>
      <c r="O520" s="2">
        <v>34895.96</v>
      </c>
      <c r="P520" s="2">
        <v>0</v>
      </c>
      <c r="Q520">
        <f t="shared" si="32"/>
        <v>34264.130434782608</v>
      </c>
      <c r="R520">
        <f t="shared" ca="1" si="33"/>
        <v>37</v>
      </c>
      <c r="S520" s="2">
        <f t="shared" si="34"/>
        <v>3372.9599999999991</v>
      </c>
      <c r="T520" s="18">
        <v>0.1</v>
      </c>
      <c r="U520">
        <f t="shared" si="35"/>
        <v>3710.2559999999994</v>
      </c>
    </row>
    <row r="521" spans="1:21" x14ac:dyDescent="0.3">
      <c r="A521" t="s">
        <v>1084</v>
      </c>
      <c r="B521" s="1">
        <v>45121</v>
      </c>
      <c r="C521" t="s">
        <v>1085</v>
      </c>
      <c r="D521" s="3" t="s">
        <v>50</v>
      </c>
      <c r="E521" s="2">
        <v>30052</v>
      </c>
      <c r="F521" s="2">
        <v>14.3</v>
      </c>
      <c r="G521" s="4">
        <v>36</v>
      </c>
      <c r="H521" t="s">
        <v>26</v>
      </c>
      <c r="I521" t="s">
        <v>84</v>
      </c>
      <c r="J521" t="s">
        <v>28</v>
      </c>
      <c r="K521" s="2">
        <v>71185</v>
      </c>
      <c r="L521" t="s">
        <v>29</v>
      </c>
      <c r="M521" s="2">
        <v>0.3</v>
      </c>
      <c r="N521" s="2">
        <v>0.85</v>
      </c>
      <c r="O521" s="2">
        <v>11094.37</v>
      </c>
      <c r="P521" s="2">
        <v>0</v>
      </c>
      <c r="Q521">
        <f t="shared" si="32"/>
        <v>35355.294117647063</v>
      </c>
      <c r="R521">
        <f t="shared" ca="1" si="33"/>
        <v>32</v>
      </c>
      <c r="S521" s="2">
        <f t="shared" si="34"/>
        <v>-18957.629999999997</v>
      </c>
      <c r="T521" s="18">
        <v>0.1</v>
      </c>
      <c r="U521">
        <f t="shared" si="35"/>
        <v>-20853.393</v>
      </c>
    </row>
    <row r="522" spans="1:21" x14ac:dyDescent="0.3">
      <c r="A522" t="s">
        <v>1086</v>
      </c>
      <c r="B522" s="1">
        <v>45105</v>
      </c>
      <c r="C522" t="s">
        <v>1087</v>
      </c>
      <c r="D522" s="3" t="s">
        <v>18</v>
      </c>
      <c r="E522" s="2">
        <v>35414</v>
      </c>
      <c r="F522" s="2">
        <v>13.8</v>
      </c>
      <c r="G522" s="4">
        <v>60</v>
      </c>
      <c r="H522" t="s">
        <v>19</v>
      </c>
      <c r="I522" t="s">
        <v>20</v>
      </c>
      <c r="J522" t="s">
        <v>47</v>
      </c>
      <c r="K522" s="2">
        <v>145464</v>
      </c>
      <c r="L522" t="s">
        <v>33</v>
      </c>
      <c r="M522" s="2">
        <v>0.13</v>
      </c>
      <c r="N522" s="2">
        <v>0.51</v>
      </c>
      <c r="O522" s="2">
        <v>40301.129999999997</v>
      </c>
      <c r="P522" s="2">
        <v>0</v>
      </c>
      <c r="Q522">
        <f t="shared" si="32"/>
        <v>69439.215686274503</v>
      </c>
      <c r="R522">
        <f t="shared" ca="1" si="33"/>
        <v>32</v>
      </c>
      <c r="S522" s="2">
        <f t="shared" si="34"/>
        <v>4887.1299999999974</v>
      </c>
      <c r="T522" s="18">
        <v>0.1</v>
      </c>
      <c r="U522">
        <f t="shared" si="35"/>
        <v>5375.8429999999971</v>
      </c>
    </row>
    <row r="523" spans="1:21" x14ac:dyDescent="0.3">
      <c r="A523" t="s">
        <v>1088</v>
      </c>
      <c r="B523" s="1">
        <v>44586</v>
      </c>
      <c r="C523" t="s">
        <v>1089</v>
      </c>
      <c r="D523" s="3" t="s">
        <v>25</v>
      </c>
      <c r="E523" s="2">
        <v>33781</v>
      </c>
      <c r="F523" s="2">
        <v>9.4</v>
      </c>
      <c r="G523" s="4">
        <v>60</v>
      </c>
      <c r="H523" t="s">
        <v>81</v>
      </c>
      <c r="I523" t="s">
        <v>57</v>
      </c>
      <c r="J523" t="s">
        <v>37</v>
      </c>
      <c r="K523" s="2">
        <v>122949</v>
      </c>
      <c r="L523" t="s">
        <v>33</v>
      </c>
      <c r="M523" s="2">
        <v>0.19</v>
      </c>
      <c r="N523" s="2">
        <v>0.74</v>
      </c>
      <c r="O523" s="2">
        <v>8770.67</v>
      </c>
      <c r="P523" s="2">
        <v>14712.11</v>
      </c>
      <c r="Q523">
        <f t="shared" si="32"/>
        <v>45650</v>
      </c>
      <c r="R523">
        <f t="shared" ca="1" si="33"/>
        <v>49</v>
      </c>
      <c r="S523" s="2">
        <f t="shared" si="34"/>
        <v>-10298.220000000001</v>
      </c>
      <c r="T523" s="18">
        <v>0.1</v>
      </c>
      <c r="U523">
        <f t="shared" si="35"/>
        <v>-11328.042000000003</v>
      </c>
    </row>
    <row r="524" spans="1:21" x14ac:dyDescent="0.3">
      <c r="A524" t="s">
        <v>1090</v>
      </c>
      <c r="B524" s="1">
        <v>45079</v>
      </c>
      <c r="C524" t="s">
        <v>1091</v>
      </c>
      <c r="D524" s="3" t="s">
        <v>56</v>
      </c>
      <c r="E524" s="2">
        <v>5599</v>
      </c>
      <c r="F524" s="2">
        <v>12.9</v>
      </c>
      <c r="G524" s="4">
        <v>60</v>
      </c>
      <c r="H524" t="s">
        <v>19</v>
      </c>
      <c r="I524" t="s">
        <v>73</v>
      </c>
      <c r="J524" t="s">
        <v>21</v>
      </c>
      <c r="K524" s="2">
        <v>100744</v>
      </c>
      <c r="L524" t="s">
        <v>29</v>
      </c>
      <c r="M524" s="2">
        <v>0.47</v>
      </c>
      <c r="N524" s="2">
        <v>0.81</v>
      </c>
      <c r="O524" s="2">
        <v>6321.27</v>
      </c>
      <c r="P524" s="2">
        <v>0</v>
      </c>
      <c r="Q524">
        <f t="shared" si="32"/>
        <v>6912.3456790123455</v>
      </c>
      <c r="R524">
        <f t="shared" ca="1" si="33"/>
        <v>33</v>
      </c>
      <c r="S524" s="2">
        <f t="shared" si="34"/>
        <v>722.27000000000044</v>
      </c>
      <c r="T524" s="18">
        <v>0.1</v>
      </c>
      <c r="U524">
        <f t="shared" si="35"/>
        <v>794.49700000000053</v>
      </c>
    </row>
    <row r="525" spans="1:21" x14ac:dyDescent="0.3">
      <c r="A525" t="s">
        <v>1092</v>
      </c>
      <c r="B525" s="1">
        <v>44452</v>
      </c>
      <c r="C525" t="s">
        <v>1093</v>
      </c>
      <c r="D525" s="3" t="s">
        <v>40</v>
      </c>
      <c r="E525" s="2">
        <v>36046</v>
      </c>
      <c r="F525" s="2">
        <v>5.9</v>
      </c>
      <c r="G525" s="4">
        <v>36</v>
      </c>
      <c r="H525" t="s">
        <v>60</v>
      </c>
      <c r="I525" t="s">
        <v>27</v>
      </c>
      <c r="J525" t="s">
        <v>28</v>
      </c>
      <c r="K525" s="2">
        <v>63455</v>
      </c>
      <c r="L525" t="s">
        <v>22</v>
      </c>
      <c r="M525" s="2">
        <v>0.28999999999999998</v>
      </c>
      <c r="N525" s="2">
        <v>0.84</v>
      </c>
      <c r="O525" s="2">
        <v>0</v>
      </c>
      <c r="P525" s="2">
        <v>0</v>
      </c>
      <c r="Q525">
        <f t="shared" si="32"/>
        <v>42911.904761904763</v>
      </c>
      <c r="R525">
        <f t="shared" ca="1" si="33"/>
        <v>54</v>
      </c>
      <c r="S525" s="2">
        <f t="shared" si="34"/>
        <v>-36046</v>
      </c>
      <c r="T525" s="18">
        <v>0.1</v>
      </c>
      <c r="U525">
        <f t="shared" si="35"/>
        <v>-39650.600000000006</v>
      </c>
    </row>
    <row r="526" spans="1:21" x14ac:dyDescent="0.3">
      <c r="A526" t="s">
        <v>1094</v>
      </c>
      <c r="B526" s="1">
        <v>44905</v>
      </c>
      <c r="C526" t="s">
        <v>1095</v>
      </c>
      <c r="D526" s="3" t="s">
        <v>46</v>
      </c>
      <c r="E526" s="2">
        <v>36923</v>
      </c>
      <c r="F526" s="2">
        <v>10.6</v>
      </c>
      <c r="G526" s="4">
        <v>60</v>
      </c>
      <c r="H526" t="s">
        <v>26</v>
      </c>
      <c r="I526" t="s">
        <v>57</v>
      </c>
      <c r="J526" t="s">
        <v>47</v>
      </c>
      <c r="K526" s="2">
        <v>145217</v>
      </c>
      <c r="L526" t="s">
        <v>29</v>
      </c>
      <c r="M526" s="2">
        <v>0.28000000000000003</v>
      </c>
      <c r="N526" s="2">
        <v>0.6</v>
      </c>
      <c r="O526" s="2">
        <v>9786.24</v>
      </c>
      <c r="P526" s="2">
        <v>0</v>
      </c>
      <c r="Q526">
        <f t="shared" si="32"/>
        <v>61538.333333333336</v>
      </c>
      <c r="R526">
        <f t="shared" ca="1" si="33"/>
        <v>39</v>
      </c>
      <c r="S526" s="2">
        <f t="shared" si="34"/>
        <v>-27136.760000000002</v>
      </c>
      <c r="T526" s="18">
        <v>0.1</v>
      </c>
      <c r="U526">
        <f t="shared" si="35"/>
        <v>-29850.436000000005</v>
      </c>
    </row>
    <row r="527" spans="1:21" x14ac:dyDescent="0.3">
      <c r="A527" t="s">
        <v>1096</v>
      </c>
      <c r="B527" s="1">
        <v>44646</v>
      </c>
      <c r="C527" t="s">
        <v>1097</v>
      </c>
      <c r="D527" s="3" t="s">
        <v>46</v>
      </c>
      <c r="E527" s="2">
        <v>4814</v>
      </c>
      <c r="F527" s="2">
        <v>21.3</v>
      </c>
      <c r="G527" s="4">
        <v>60</v>
      </c>
      <c r="H527" t="s">
        <v>26</v>
      </c>
      <c r="I527" t="s">
        <v>84</v>
      </c>
      <c r="J527" t="s">
        <v>37</v>
      </c>
      <c r="K527" s="2">
        <v>58018</v>
      </c>
      <c r="L527" t="s">
        <v>22</v>
      </c>
      <c r="M527" s="2">
        <v>0.11</v>
      </c>
      <c r="N527" s="2">
        <v>0.89</v>
      </c>
      <c r="O527" s="2">
        <v>724.86</v>
      </c>
      <c r="P527" s="2">
        <v>0</v>
      </c>
      <c r="Q527">
        <f t="shared" si="32"/>
        <v>5408.9887640449433</v>
      </c>
      <c r="R527">
        <f t="shared" ca="1" si="33"/>
        <v>47</v>
      </c>
      <c r="S527" s="2">
        <f t="shared" si="34"/>
        <v>-4089.14</v>
      </c>
      <c r="T527" s="18">
        <v>0.1</v>
      </c>
      <c r="U527">
        <f t="shared" si="35"/>
        <v>-4498.0540000000001</v>
      </c>
    </row>
    <row r="528" spans="1:21" x14ac:dyDescent="0.3">
      <c r="A528" t="s">
        <v>1098</v>
      </c>
      <c r="B528" s="1">
        <v>44206</v>
      </c>
      <c r="C528" t="s">
        <v>1099</v>
      </c>
      <c r="D528" s="3" t="s">
        <v>72</v>
      </c>
      <c r="E528" s="2">
        <v>36984</v>
      </c>
      <c r="F528" s="2">
        <v>10.7</v>
      </c>
      <c r="G528" s="4">
        <v>36</v>
      </c>
      <c r="H528" t="s">
        <v>26</v>
      </c>
      <c r="I528" t="s">
        <v>57</v>
      </c>
      <c r="J528" t="s">
        <v>28</v>
      </c>
      <c r="K528" s="2">
        <v>84219</v>
      </c>
      <c r="L528" t="s">
        <v>22</v>
      </c>
      <c r="M528" s="2">
        <v>0.2</v>
      </c>
      <c r="N528" s="2">
        <v>0.93</v>
      </c>
      <c r="O528" s="2">
        <v>13592.29</v>
      </c>
      <c r="P528" s="2">
        <v>0</v>
      </c>
      <c r="Q528">
        <f t="shared" si="32"/>
        <v>39767.741935483871</v>
      </c>
      <c r="R528">
        <f t="shared" ca="1" si="33"/>
        <v>62</v>
      </c>
      <c r="S528" s="2">
        <f t="shared" si="34"/>
        <v>-23391.71</v>
      </c>
      <c r="T528" s="18">
        <v>0.1</v>
      </c>
      <c r="U528">
        <f t="shared" si="35"/>
        <v>-25730.881000000001</v>
      </c>
    </row>
    <row r="529" spans="1:21" x14ac:dyDescent="0.3">
      <c r="A529" t="s">
        <v>1100</v>
      </c>
      <c r="B529" s="1">
        <v>45020</v>
      </c>
      <c r="C529" t="s">
        <v>1101</v>
      </c>
      <c r="D529" s="3" t="s">
        <v>40</v>
      </c>
      <c r="E529" s="2">
        <v>27616</v>
      </c>
      <c r="F529" s="2">
        <v>21.4</v>
      </c>
      <c r="G529" s="4">
        <v>36</v>
      </c>
      <c r="H529" t="s">
        <v>19</v>
      </c>
      <c r="I529" t="s">
        <v>57</v>
      </c>
      <c r="J529" t="s">
        <v>28</v>
      </c>
      <c r="K529" s="2">
        <v>75991</v>
      </c>
      <c r="L529" t="s">
        <v>22</v>
      </c>
      <c r="M529" s="2">
        <v>0.45</v>
      </c>
      <c r="N529" s="2">
        <v>0.61</v>
      </c>
      <c r="O529" s="2">
        <v>33525.82</v>
      </c>
      <c r="P529" s="2">
        <v>0</v>
      </c>
      <c r="Q529">
        <f t="shared" si="32"/>
        <v>45272.131147540982</v>
      </c>
      <c r="R529">
        <f t="shared" ca="1" si="33"/>
        <v>35</v>
      </c>
      <c r="S529" s="2">
        <f t="shared" si="34"/>
        <v>5909.82</v>
      </c>
      <c r="T529" s="18">
        <v>0.1</v>
      </c>
      <c r="U529">
        <f t="shared" si="35"/>
        <v>6500.8020000000006</v>
      </c>
    </row>
    <row r="530" spans="1:21" x14ac:dyDescent="0.3">
      <c r="A530" t="s">
        <v>1102</v>
      </c>
      <c r="B530" s="1">
        <v>44994</v>
      </c>
      <c r="C530" t="s">
        <v>1103</v>
      </c>
      <c r="D530" s="3" t="s">
        <v>53</v>
      </c>
      <c r="E530" s="2">
        <v>3113</v>
      </c>
      <c r="F530" s="2">
        <v>15.6</v>
      </c>
      <c r="G530" s="4">
        <v>60</v>
      </c>
      <c r="H530" t="s">
        <v>26</v>
      </c>
      <c r="I530" t="s">
        <v>20</v>
      </c>
      <c r="J530" t="s">
        <v>21</v>
      </c>
      <c r="K530" s="2">
        <v>103616</v>
      </c>
      <c r="L530" t="s">
        <v>33</v>
      </c>
      <c r="M530" s="2">
        <v>0.17</v>
      </c>
      <c r="N530" s="2">
        <v>0.9</v>
      </c>
      <c r="O530" s="2">
        <v>422.95</v>
      </c>
      <c r="P530" s="2">
        <v>0</v>
      </c>
      <c r="Q530">
        <f t="shared" si="32"/>
        <v>3458.8888888888887</v>
      </c>
      <c r="R530">
        <f t="shared" ca="1" si="33"/>
        <v>36</v>
      </c>
      <c r="S530" s="2">
        <f t="shared" si="34"/>
        <v>-2690.05</v>
      </c>
      <c r="T530" s="18">
        <v>0.1</v>
      </c>
      <c r="U530">
        <f t="shared" si="35"/>
        <v>-2959.0550000000003</v>
      </c>
    </row>
    <row r="531" spans="1:21" x14ac:dyDescent="0.3">
      <c r="A531" t="s">
        <v>1104</v>
      </c>
      <c r="B531" s="1">
        <v>45073</v>
      </c>
      <c r="C531" t="s">
        <v>1105</v>
      </c>
      <c r="D531" s="3" t="s">
        <v>40</v>
      </c>
      <c r="E531" s="2">
        <v>14760</v>
      </c>
      <c r="F531" s="2">
        <v>22.6</v>
      </c>
      <c r="G531" s="4">
        <v>60</v>
      </c>
      <c r="H531" t="s">
        <v>19</v>
      </c>
      <c r="I531" t="s">
        <v>73</v>
      </c>
      <c r="J531" t="s">
        <v>47</v>
      </c>
      <c r="K531" s="2">
        <v>117438</v>
      </c>
      <c r="L531" t="s">
        <v>22</v>
      </c>
      <c r="M531" s="2">
        <v>0.27</v>
      </c>
      <c r="N531" s="2">
        <v>0.54</v>
      </c>
      <c r="O531" s="2">
        <v>18095.759999999998</v>
      </c>
      <c r="P531" s="2">
        <v>0</v>
      </c>
      <c r="Q531">
        <f t="shared" si="32"/>
        <v>27333.333333333332</v>
      </c>
      <c r="R531">
        <f t="shared" ca="1" si="33"/>
        <v>33</v>
      </c>
      <c r="S531" s="2">
        <f t="shared" si="34"/>
        <v>3335.7599999999984</v>
      </c>
      <c r="T531" s="18">
        <v>0.1</v>
      </c>
      <c r="U531">
        <f t="shared" si="35"/>
        <v>3669.3359999999984</v>
      </c>
    </row>
    <row r="532" spans="1:21" x14ac:dyDescent="0.3">
      <c r="A532" t="s">
        <v>1106</v>
      </c>
      <c r="B532" s="1">
        <v>45225</v>
      </c>
      <c r="C532" t="s">
        <v>1107</v>
      </c>
      <c r="D532" s="3" t="s">
        <v>18</v>
      </c>
      <c r="E532" s="2">
        <v>22927</v>
      </c>
      <c r="F532" s="2">
        <v>16.5</v>
      </c>
      <c r="G532" s="4">
        <v>60</v>
      </c>
      <c r="H532" t="s">
        <v>26</v>
      </c>
      <c r="I532" t="s">
        <v>27</v>
      </c>
      <c r="J532" t="s">
        <v>32</v>
      </c>
      <c r="K532" s="2">
        <v>146841</v>
      </c>
      <c r="L532" t="s">
        <v>22</v>
      </c>
      <c r="M532" s="2">
        <v>0.11</v>
      </c>
      <c r="N532" s="2">
        <v>0.53</v>
      </c>
      <c r="O532" s="2">
        <v>6850.1</v>
      </c>
      <c r="P532" s="2">
        <v>0</v>
      </c>
      <c r="Q532">
        <f t="shared" si="32"/>
        <v>43258.490566037734</v>
      </c>
      <c r="R532">
        <f t="shared" ca="1" si="33"/>
        <v>28</v>
      </c>
      <c r="S532" s="2">
        <f t="shared" si="34"/>
        <v>-16076.9</v>
      </c>
      <c r="T532" s="18">
        <v>0.1</v>
      </c>
      <c r="U532">
        <f t="shared" si="35"/>
        <v>-17684.59</v>
      </c>
    </row>
    <row r="533" spans="1:21" x14ac:dyDescent="0.3">
      <c r="A533" t="s">
        <v>1108</v>
      </c>
      <c r="B533" s="1">
        <v>45212</v>
      </c>
      <c r="C533" t="s">
        <v>1109</v>
      </c>
      <c r="D533" s="3" t="s">
        <v>18</v>
      </c>
      <c r="E533" s="2">
        <v>21939</v>
      </c>
      <c r="F533" s="2">
        <v>5.6</v>
      </c>
      <c r="G533" s="4">
        <v>36</v>
      </c>
      <c r="H533" t="s">
        <v>26</v>
      </c>
      <c r="I533" t="s">
        <v>20</v>
      </c>
      <c r="J533" t="s">
        <v>28</v>
      </c>
      <c r="K533" s="2">
        <v>39486</v>
      </c>
      <c r="L533" t="s">
        <v>33</v>
      </c>
      <c r="M533" s="2">
        <v>0.28999999999999998</v>
      </c>
      <c r="N533" s="2">
        <v>0.56000000000000005</v>
      </c>
      <c r="O533" s="2">
        <v>3597.13</v>
      </c>
      <c r="P533" s="2">
        <v>0</v>
      </c>
      <c r="Q533">
        <f t="shared" si="32"/>
        <v>39176.78571428571</v>
      </c>
      <c r="R533">
        <f t="shared" ca="1" si="33"/>
        <v>29</v>
      </c>
      <c r="S533" s="2">
        <f t="shared" si="34"/>
        <v>-18341.87</v>
      </c>
      <c r="T533" s="18">
        <v>0.1</v>
      </c>
      <c r="U533">
        <f t="shared" si="35"/>
        <v>-20176.057000000001</v>
      </c>
    </row>
    <row r="534" spans="1:21" x14ac:dyDescent="0.3">
      <c r="A534" t="s">
        <v>1110</v>
      </c>
      <c r="B534" s="1">
        <v>44570</v>
      </c>
      <c r="C534" t="s">
        <v>1111</v>
      </c>
      <c r="D534" s="3" t="s">
        <v>18</v>
      </c>
      <c r="E534" s="2">
        <v>33419</v>
      </c>
      <c r="F534" s="2">
        <v>18.5</v>
      </c>
      <c r="G534" s="4">
        <v>36</v>
      </c>
      <c r="H534" t="s">
        <v>81</v>
      </c>
      <c r="I534" t="s">
        <v>57</v>
      </c>
      <c r="J534" t="s">
        <v>37</v>
      </c>
      <c r="K534" s="2">
        <v>68862</v>
      </c>
      <c r="L534" t="s">
        <v>22</v>
      </c>
      <c r="M534" s="2">
        <v>0.11</v>
      </c>
      <c r="N534" s="2">
        <v>0.53</v>
      </c>
      <c r="O534" s="2">
        <v>12922.67</v>
      </c>
      <c r="P534" s="2">
        <v>11291.82</v>
      </c>
      <c r="Q534">
        <f t="shared" si="32"/>
        <v>63054.716981132071</v>
      </c>
      <c r="R534">
        <f t="shared" ca="1" si="33"/>
        <v>50</v>
      </c>
      <c r="S534" s="2">
        <f t="shared" si="34"/>
        <v>-9204.510000000002</v>
      </c>
      <c r="T534" s="18">
        <v>0.1</v>
      </c>
      <c r="U534">
        <f t="shared" si="35"/>
        <v>-10124.961000000003</v>
      </c>
    </row>
    <row r="535" spans="1:21" x14ac:dyDescent="0.3">
      <c r="A535" t="s">
        <v>1112</v>
      </c>
      <c r="B535" s="1">
        <v>45285</v>
      </c>
      <c r="C535" t="s">
        <v>1113</v>
      </c>
      <c r="D535" s="3" t="s">
        <v>18</v>
      </c>
      <c r="E535" s="2">
        <v>13588</v>
      </c>
      <c r="F535" s="2">
        <v>5.9</v>
      </c>
      <c r="G535" s="4">
        <v>36</v>
      </c>
      <c r="H535" t="s">
        <v>19</v>
      </c>
      <c r="I535" t="s">
        <v>84</v>
      </c>
      <c r="J535" t="s">
        <v>21</v>
      </c>
      <c r="K535" s="2">
        <v>88870</v>
      </c>
      <c r="L535" t="s">
        <v>22</v>
      </c>
      <c r="M535" s="2">
        <v>0.43</v>
      </c>
      <c r="N535" s="2">
        <v>0.88</v>
      </c>
      <c r="O535" s="2">
        <v>14389.69</v>
      </c>
      <c r="P535" s="2">
        <v>0</v>
      </c>
      <c r="Q535">
        <f t="shared" si="32"/>
        <v>15440.90909090909</v>
      </c>
      <c r="R535">
        <f t="shared" ca="1" si="33"/>
        <v>26</v>
      </c>
      <c r="S535" s="2">
        <f t="shared" si="34"/>
        <v>801.69000000000051</v>
      </c>
      <c r="T535" s="18">
        <v>0.1</v>
      </c>
      <c r="U535">
        <f t="shared" si="35"/>
        <v>881.85900000000061</v>
      </c>
    </row>
    <row r="536" spans="1:21" x14ac:dyDescent="0.3">
      <c r="A536" t="s">
        <v>1114</v>
      </c>
      <c r="B536" s="1">
        <v>44342</v>
      </c>
      <c r="C536" t="s">
        <v>1115</v>
      </c>
      <c r="D536" s="3" t="s">
        <v>76</v>
      </c>
      <c r="E536" s="2">
        <v>37142</v>
      </c>
      <c r="F536" s="2">
        <v>14</v>
      </c>
      <c r="G536" s="4">
        <v>36</v>
      </c>
      <c r="H536" t="s">
        <v>19</v>
      </c>
      <c r="I536" t="s">
        <v>57</v>
      </c>
      <c r="J536" t="s">
        <v>21</v>
      </c>
      <c r="K536" s="2">
        <v>116694</v>
      </c>
      <c r="L536" t="s">
        <v>29</v>
      </c>
      <c r="M536" s="2">
        <v>0.43</v>
      </c>
      <c r="N536" s="2">
        <v>0.53</v>
      </c>
      <c r="O536" s="2">
        <v>42341.88</v>
      </c>
      <c r="P536" s="2">
        <v>0</v>
      </c>
      <c r="Q536">
        <f t="shared" si="32"/>
        <v>70079.24528301887</v>
      </c>
      <c r="R536">
        <f t="shared" ca="1" si="33"/>
        <v>57</v>
      </c>
      <c r="S536" s="2">
        <f t="shared" si="34"/>
        <v>5199.8799999999974</v>
      </c>
      <c r="T536" s="18">
        <v>0.1</v>
      </c>
      <c r="U536">
        <f t="shared" si="35"/>
        <v>5719.8679999999977</v>
      </c>
    </row>
    <row r="537" spans="1:21" x14ac:dyDescent="0.3">
      <c r="A537" t="s">
        <v>1116</v>
      </c>
      <c r="B537" s="1">
        <v>44420</v>
      </c>
      <c r="C537" t="s">
        <v>1117</v>
      </c>
      <c r="D537" s="3" t="s">
        <v>46</v>
      </c>
      <c r="E537" s="2">
        <v>34397</v>
      </c>
      <c r="F537" s="2">
        <v>23.6</v>
      </c>
      <c r="G537" s="4">
        <v>60</v>
      </c>
      <c r="H537" t="s">
        <v>19</v>
      </c>
      <c r="I537" t="s">
        <v>20</v>
      </c>
      <c r="J537" t="s">
        <v>28</v>
      </c>
      <c r="K537" s="2">
        <v>135996</v>
      </c>
      <c r="L537" t="s">
        <v>22</v>
      </c>
      <c r="M537" s="2">
        <v>0.42</v>
      </c>
      <c r="N537" s="2">
        <v>0.62</v>
      </c>
      <c r="O537" s="2">
        <v>42514.69</v>
      </c>
      <c r="P537" s="2">
        <v>0</v>
      </c>
      <c r="Q537">
        <f t="shared" si="32"/>
        <v>55479.032258064515</v>
      </c>
      <c r="R537">
        <f t="shared" ca="1" si="33"/>
        <v>55</v>
      </c>
      <c r="S537" s="2">
        <f t="shared" si="34"/>
        <v>8117.6900000000023</v>
      </c>
      <c r="T537" s="18">
        <v>0.1</v>
      </c>
      <c r="U537">
        <f t="shared" si="35"/>
        <v>8929.4590000000026</v>
      </c>
    </row>
    <row r="538" spans="1:21" x14ac:dyDescent="0.3">
      <c r="A538" t="s">
        <v>1118</v>
      </c>
      <c r="B538" s="1">
        <v>44373</v>
      </c>
      <c r="C538" t="s">
        <v>1119</v>
      </c>
      <c r="D538" s="3" t="s">
        <v>40</v>
      </c>
      <c r="E538" s="2">
        <v>17653</v>
      </c>
      <c r="F538" s="2">
        <v>8.3000000000000007</v>
      </c>
      <c r="G538" s="4">
        <v>36</v>
      </c>
      <c r="H538" t="s">
        <v>26</v>
      </c>
      <c r="I538" t="s">
        <v>27</v>
      </c>
      <c r="J538" t="s">
        <v>28</v>
      </c>
      <c r="K538" s="2">
        <v>73856</v>
      </c>
      <c r="L538" t="s">
        <v>22</v>
      </c>
      <c r="M538" s="2">
        <v>0.21</v>
      </c>
      <c r="N538" s="2">
        <v>0.55000000000000004</v>
      </c>
      <c r="O538" s="2">
        <v>1110.0899999999999</v>
      </c>
      <c r="P538" s="2">
        <v>0</v>
      </c>
      <c r="Q538">
        <f t="shared" si="32"/>
        <v>32096.363636363632</v>
      </c>
      <c r="R538">
        <f t="shared" ca="1" si="33"/>
        <v>56</v>
      </c>
      <c r="S538" s="2">
        <f t="shared" si="34"/>
        <v>-16542.91</v>
      </c>
      <c r="T538" s="18">
        <v>0.1</v>
      </c>
      <c r="U538">
        <f t="shared" si="35"/>
        <v>-18197.201000000001</v>
      </c>
    </row>
    <row r="539" spans="1:21" x14ac:dyDescent="0.3">
      <c r="A539" t="s">
        <v>1120</v>
      </c>
      <c r="B539" s="1">
        <v>45049</v>
      </c>
      <c r="C539" t="s">
        <v>1121</v>
      </c>
      <c r="D539" s="3" t="s">
        <v>46</v>
      </c>
      <c r="E539" s="2">
        <v>11831</v>
      </c>
      <c r="F539" s="2">
        <v>12.8</v>
      </c>
      <c r="G539" s="4">
        <v>36</v>
      </c>
      <c r="H539" t="s">
        <v>19</v>
      </c>
      <c r="I539" t="s">
        <v>20</v>
      </c>
      <c r="J539" t="s">
        <v>28</v>
      </c>
      <c r="K539" s="2">
        <v>131407</v>
      </c>
      <c r="L539" t="s">
        <v>22</v>
      </c>
      <c r="M539" s="2">
        <v>0.43</v>
      </c>
      <c r="N539" s="2">
        <v>0.63</v>
      </c>
      <c r="O539" s="2">
        <v>13345.37</v>
      </c>
      <c r="P539" s="2">
        <v>0</v>
      </c>
      <c r="Q539">
        <f t="shared" si="32"/>
        <v>18779.365079365078</v>
      </c>
      <c r="R539">
        <f t="shared" ca="1" si="33"/>
        <v>34</v>
      </c>
      <c r="S539" s="2">
        <f t="shared" si="34"/>
        <v>1514.3700000000008</v>
      </c>
      <c r="T539" s="18">
        <v>0.1</v>
      </c>
      <c r="U539">
        <f t="shared" si="35"/>
        <v>1665.8070000000009</v>
      </c>
    </row>
    <row r="540" spans="1:21" x14ac:dyDescent="0.3">
      <c r="A540" t="s">
        <v>1122</v>
      </c>
      <c r="B540" s="1">
        <v>44259</v>
      </c>
      <c r="C540" t="s">
        <v>1123</v>
      </c>
      <c r="D540" s="3" t="s">
        <v>50</v>
      </c>
      <c r="E540" s="2">
        <v>6724</v>
      </c>
      <c r="F540" s="2">
        <v>19.600000000000001</v>
      </c>
      <c r="G540" s="4">
        <v>36</v>
      </c>
      <c r="H540" t="s">
        <v>19</v>
      </c>
      <c r="I540" t="s">
        <v>36</v>
      </c>
      <c r="J540" t="s">
        <v>32</v>
      </c>
      <c r="K540" s="2">
        <v>130744</v>
      </c>
      <c r="L540" t="s">
        <v>22</v>
      </c>
      <c r="M540" s="2">
        <v>0.32</v>
      </c>
      <c r="N540" s="2">
        <v>0.54</v>
      </c>
      <c r="O540" s="2">
        <v>8041.9</v>
      </c>
      <c r="P540" s="2">
        <v>0</v>
      </c>
      <c r="Q540">
        <f t="shared" si="32"/>
        <v>12451.85185185185</v>
      </c>
      <c r="R540">
        <f t="shared" ca="1" si="33"/>
        <v>60</v>
      </c>
      <c r="S540" s="2">
        <f t="shared" si="34"/>
        <v>1317.8999999999996</v>
      </c>
      <c r="T540" s="18">
        <v>0.1</v>
      </c>
      <c r="U540">
        <f t="shared" si="35"/>
        <v>1449.6899999999998</v>
      </c>
    </row>
    <row r="541" spans="1:21" x14ac:dyDescent="0.3">
      <c r="A541" t="s">
        <v>1124</v>
      </c>
      <c r="B541" s="1">
        <v>45023</v>
      </c>
      <c r="C541" t="s">
        <v>1125</v>
      </c>
      <c r="D541" s="3" t="s">
        <v>40</v>
      </c>
      <c r="E541" s="2">
        <v>12083</v>
      </c>
      <c r="F541" s="2">
        <v>22.6</v>
      </c>
      <c r="G541" s="4">
        <v>60</v>
      </c>
      <c r="H541" t="s">
        <v>26</v>
      </c>
      <c r="I541" t="s">
        <v>20</v>
      </c>
      <c r="J541" t="s">
        <v>28</v>
      </c>
      <c r="K541" s="2">
        <v>116055</v>
      </c>
      <c r="L541" t="s">
        <v>22</v>
      </c>
      <c r="M541" s="2">
        <v>0.25</v>
      </c>
      <c r="N541" s="2">
        <v>0.8</v>
      </c>
      <c r="O541" s="2">
        <v>1690.14</v>
      </c>
      <c r="P541" s="2">
        <v>0</v>
      </c>
      <c r="Q541">
        <f t="shared" si="32"/>
        <v>15103.75</v>
      </c>
      <c r="R541">
        <f t="shared" ca="1" si="33"/>
        <v>35</v>
      </c>
      <c r="S541" s="2">
        <f t="shared" si="34"/>
        <v>-10392.86</v>
      </c>
      <c r="T541" s="18">
        <v>0.1</v>
      </c>
      <c r="U541">
        <f t="shared" si="35"/>
        <v>-11432.146000000002</v>
      </c>
    </row>
    <row r="542" spans="1:21" x14ac:dyDescent="0.3">
      <c r="A542" t="s">
        <v>1126</v>
      </c>
      <c r="B542" s="1">
        <v>44991</v>
      </c>
      <c r="C542" t="s">
        <v>1127</v>
      </c>
      <c r="D542" s="3" t="s">
        <v>76</v>
      </c>
      <c r="E542" s="2">
        <v>20816</v>
      </c>
      <c r="F542" s="2">
        <v>18.399999999999999</v>
      </c>
      <c r="G542" s="4">
        <v>60</v>
      </c>
      <c r="H542" t="s">
        <v>26</v>
      </c>
      <c r="I542" t="s">
        <v>27</v>
      </c>
      <c r="J542" t="s">
        <v>47</v>
      </c>
      <c r="K542" s="2">
        <v>61379</v>
      </c>
      <c r="L542" t="s">
        <v>33</v>
      </c>
      <c r="M542" s="2">
        <v>0.35</v>
      </c>
      <c r="N542" s="2">
        <v>0.56000000000000005</v>
      </c>
      <c r="O542" s="2">
        <v>3310.57</v>
      </c>
      <c r="P542" s="2">
        <v>0</v>
      </c>
      <c r="Q542">
        <f t="shared" si="32"/>
        <v>37171.428571428565</v>
      </c>
      <c r="R542">
        <f t="shared" ca="1" si="33"/>
        <v>36</v>
      </c>
      <c r="S542" s="2">
        <f t="shared" si="34"/>
        <v>-17505.43</v>
      </c>
      <c r="T542" s="18">
        <v>0.1</v>
      </c>
      <c r="U542">
        <f t="shared" si="35"/>
        <v>-19255.973000000002</v>
      </c>
    </row>
    <row r="543" spans="1:21" x14ac:dyDescent="0.3">
      <c r="A543" t="s">
        <v>1128</v>
      </c>
      <c r="B543" s="1">
        <v>44885</v>
      </c>
      <c r="C543" t="s">
        <v>1129</v>
      </c>
      <c r="D543" s="3" t="s">
        <v>50</v>
      </c>
      <c r="E543" s="2">
        <v>7276</v>
      </c>
      <c r="F543" s="2">
        <v>10.199999999999999</v>
      </c>
      <c r="G543" s="4">
        <v>36</v>
      </c>
      <c r="H543" t="s">
        <v>19</v>
      </c>
      <c r="I543" t="s">
        <v>73</v>
      </c>
      <c r="J543" t="s">
        <v>37</v>
      </c>
      <c r="K543" s="2">
        <v>94729</v>
      </c>
      <c r="L543" t="s">
        <v>22</v>
      </c>
      <c r="M543" s="2">
        <v>0.1</v>
      </c>
      <c r="N543" s="2">
        <v>0.88</v>
      </c>
      <c r="O543" s="2">
        <v>8018.15</v>
      </c>
      <c r="P543" s="2">
        <v>0</v>
      </c>
      <c r="Q543">
        <f t="shared" si="32"/>
        <v>8268.181818181818</v>
      </c>
      <c r="R543">
        <f t="shared" ca="1" si="33"/>
        <v>39</v>
      </c>
      <c r="S543" s="2">
        <f t="shared" si="34"/>
        <v>742.14999999999964</v>
      </c>
      <c r="T543" s="18">
        <v>0.1</v>
      </c>
      <c r="U543">
        <f t="shared" si="35"/>
        <v>816.36499999999967</v>
      </c>
    </row>
    <row r="544" spans="1:21" x14ac:dyDescent="0.3">
      <c r="A544" t="s">
        <v>1130</v>
      </c>
      <c r="B544" s="1">
        <v>44301</v>
      </c>
      <c r="C544" t="s">
        <v>1131</v>
      </c>
      <c r="D544" s="3" t="s">
        <v>46</v>
      </c>
      <c r="E544" s="2">
        <v>39663</v>
      </c>
      <c r="F544" s="2">
        <v>18.5</v>
      </c>
      <c r="G544" s="4">
        <v>36</v>
      </c>
      <c r="H544" t="s">
        <v>19</v>
      </c>
      <c r="I544" t="s">
        <v>84</v>
      </c>
      <c r="J544" t="s">
        <v>28</v>
      </c>
      <c r="K544" s="2">
        <v>58378</v>
      </c>
      <c r="L544" t="s">
        <v>22</v>
      </c>
      <c r="M544" s="2">
        <v>0.16</v>
      </c>
      <c r="N544" s="2">
        <v>0.87</v>
      </c>
      <c r="O544" s="2">
        <v>47000.66</v>
      </c>
      <c r="P544" s="2">
        <v>0</v>
      </c>
      <c r="Q544">
        <f t="shared" si="32"/>
        <v>45589.65517241379</v>
      </c>
      <c r="R544">
        <f t="shared" ca="1" si="33"/>
        <v>59</v>
      </c>
      <c r="S544" s="2">
        <f t="shared" si="34"/>
        <v>7337.6600000000035</v>
      </c>
      <c r="T544" s="18">
        <v>0.1</v>
      </c>
      <c r="U544">
        <f t="shared" si="35"/>
        <v>8071.4260000000049</v>
      </c>
    </row>
    <row r="545" spans="1:21" x14ac:dyDescent="0.3">
      <c r="A545" t="s">
        <v>1132</v>
      </c>
      <c r="B545" s="1">
        <v>44707</v>
      </c>
      <c r="C545" t="s">
        <v>1133</v>
      </c>
      <c r="D545" s="3" t="s">
        <v>50</v>
      </c>
      <c r="E545" s="2">
        <v>14994</v>
      </c>
      <c r="F545" s="2">
        <v>10.9</v>
      </c>
      <c r="G545" s="4">
        <v>60</v>
      </c>
      <c r="H545" t="s">
        <v>26</v>
      </c>
      <c r="I545" t="s">
        <v>20</v>
      </c>
      <c r="J545" t="s">
        <v>32</v>
      </c>
      <c r="K545" s="2">
        <v>135428</v>
      </c>
      <c r="L545" t="s">
        <v>33</v>
      </c>
      <c r="M545" s="2">
        <v>0.4</v>
      </c>
      <c r="N545" s="2">
        <v>0.51</v>
      </c>
      <c r="O545" s="2">
        <v>3543.54</v>
      </c>
      <c r="P545" s="2">
        <v>0</v>
      </c>
      <c r="Q545">
        <f t="shared" si="32"/>
        <v>29400</v>
      </c>
      <c r="R545">
        <f t="shared" ca="1" si="33"/>
        <v>45</v>
      </c>
      <c r="S545" s="2">
        <f t="shared" si="34"/>
        <v>-11450.46</v>
      </c>
      <c r="T545" s="18">
        <v>0.1</v>
      </c>
      <c r="U545">
        <f t="shared" si="35"/>
        <v>-12595.505999999999</v>
      </c>
    </row>
    <row r="546" spans="1:21" x14ac:dyDescent="0.3">
      <c r="A546" t="s">
        <v>1134</v>
      </c>
      <c r="B546" s="1">
        <v>44581</v>
      </c>
      <c r="C546" t="s">
        <v>1135</v>
      </c>
      <c r="D546" s="3" t="s">
        <v>72</v>
      </c>
      <c r="E546" s="2">
        <v>24499</v>
      </c>
      <c r="F546" s="2">
        <v>19.399999999999999</v>
      </c>
      <c r="G546" s="4">
        <v>60</v>
      </c>
      <c r="H546" t="s">
        <v>19</v>
      </c>
      <c r="I546" t="s">
        <v>27</v>
      </c>
      <c r="J546" t="s">
        <v>37</v>
      </c>
      <c r="K546" s="2">
        <v>84353</v>
      </c>
      <c r="L546" t="s">
        <v>33</v>
      </c>
      <c r="M546" s="2">
        <v>0.2</v>
      </c>
      <c r="N546" s="2">
        <v>0.9</v>
      </c>
      <c r="O546" s="2">
        <v>29251.81</v>
      </c>
      <c r="P546" s="2">
        <v>0</v>
      </c>
      <c r="Q546">
        <f t="shared" si="32"/>
        <v>27221.111111111109</v>
      </c>
      <c r="R546">
        <f t="shared" ca="1" si="33"/>
        <v>49</v>
      </c>
      <c r="S546" s="2">
        <f t="shared" si="34"/>
        <v>4752.8100000000013</v>
      </c>
      <c r="T546" s="18">
        <v>0.1</v>
      </c>
      <c r="U546">
        <f t="shared" si="35"/>
        <v>5228.0910000000022</v>
      </c>
    </row>
    <row r="547" spans="1:21" x14ac:dyDescent="0.3">
      <c r="A547" t="s">
        <v>1136</v>
      </c>
      <c r="B547" s="1">
        <v>44601</v>
      </c>
      <c r="C547" t="s">
        <v>1137</v>
      </c>
      <c r="D547" s="3" t="s">
        <v>50</v>
      </c>
      <c r="E547" s="2">
        <v>24040</v>
      </c>
      <c r="F547" s="2">
        <v>24.1</v>
      </c>
      <c r="G547" s="4">
        <v>60</v>
      </c>
      <c r="H547" t="s">
        <v>26</v>
      </c>
      <c r="I547" t="s">
        <v>73</v>
      </c>
      <c r="J547" t="s">
        <v>21</v>
      </c>
      <c r="K547" s="2">
        <v>79996</v>
      </c>
      <c r="L547" t="s">
        <v>22</v>
      </c>
      <c r="M547" s="2">
        <v>0.34</v>
      </c>
      <c r="N547" s="2">
        <v>0.51</v>
      </c>
      <c r="O547" s="2">
        <v>3719.68</v>
      </c>
      <c r="P547" s="2">
        <v>0</v>
      </c>
      <c r="Q547">
        <f t="shared" si="32"/>
        <v>47137.254901960783</v>
      </c>
      <c r="R547">
        <f t="shared" ca="1" si="33"/>
        <v>49</v>
      </c>
      <c r="S547" s="2">
        <f t="shared" si="34"/>
        <v>-20320.32</v>
      </c>
      <c r="T547" s="18">
        <v>0.1</v>
      </c>
      <c r="U547">
        <f t="shared" si="35"/>
        <v>-22352.352000000003</v>
      </c>
    </row>
    <row r="548" spans="1:21" x14ac:dyDescent="0.3">
      <c r="A548" t="s">
        <v>1138</v>
      </c>
      <c r="B548" s="1">
        <v>45019</v>
      </c>
      <c r="C548" t="s">
        <v>1139</v>
      </c>
      <c r="D548" s="3" t="s">
        <v>40</v>
      </c>
      <c r="E548" s="2">
        <v>17959</v>
      </c>
      <c r="F548" s="2">
        <v>19.399999999999999</v>
      </c>
      <c r="G548" s="4">
        <v>60</v>
      </c>
      <c r="H548" t="s">
        <v>19</v>
      </c>
      <c r="I548" t="s">
        <v>73</v>
      </c>
      <c r="J548" t="s">
        <v>28</v>
      </c>
      <c r="K548" s="2">
        <v>44031</v>
      </c>
      <c r="L548" t="s">
        <v>22</v>
      </c>
      <c r="M548" s="2">
        <v>0.25</v>
      </c>
      <c r="N548" s="2">
        <v>0.61</v>
      </c>
      <c r="O548" s="2">
        <v>21443.05</v>
      </c>
      <c r="P548" s="2">
        <v>0</v>
      </c>
      <c r="Q548">
        <f t="shared" si="32"/>
        <v>29440.983606557376</v>
      </c>
      <c r="R548">
        <f t="shared" ca="1" si="33"/>
        <v>35</v>
      </c>
      <c r="S548" s="2">
        <f t="shared" si="34"/>
        <v>3484.0499999999993</v>
      </c>
      <c r="T548" s="18">
        <v>0.1</v>
      </c>
      <c r="U548">
        <f t="shared" si="35"/>
        <v>3832.4549999999995</v>
      </c>
    </row>
    <row r="549" spans="1:21" x14ac:dyDescent="0.3">
      <c r="A549" t="s">
        <v>1140</v>
      </c>
      <c r="B549" s="1">
        <v>44714</v>
      </c>
      <c r="C549" t="s">
        <v>1141</v>
      </c>
      <c r="D549" s="3" t="s">
        <v>18</v>
      </c>
      <c r="E549" s="2">
        <v>7099</v>
      </c>
      <c r="F549" s="2">
        <v>22.3</v>
      </c>
      <c r="G549" s="4">
        <v>60</v>
      </c>
      <c r="H549" t="s">
        <v>81</v>
      </c>
      <c r="I549" t="s">
        <v>73</v>
      </c>
      <c r="J549" t="s">
        <v>37</v>
      </c>
      <c r="K549" s="2">
        <v>110072</v>
      </c>
      <c r="L549" t="s">
        <v>22</v>
      </c>
      <c r="M549" s="2">
        <v>0.44</v>
      </c>
      <c r="N549" s="2">
        <v>0.51</v>
      </c>
      <c r="O549" s="2">
        <v>1756.33</v>
      </c>
      <c r="P549" s="2">
        <v>874.52</v>
      </c>
      <c r="Q549">
        <f t="shared" si="32"/>
        <v>13919.607843137255</v>
      </c>
      <c r="R549">
        <f t="shared" ca="1" si="33"/>
        <v>45</v>
      </c>
      <c r="S549" s="2">
        <f t="shared" si="34"/>
        <v>-4468.1499999999996</v>
      </c>
      <c r="T549" s="18">
        <v>0.1</v>
      </c>
      <c r="U549">
        <f t="shared" si="35"/>
        <v>-4914.9650000000001</v>
      </c>
    </row>
    <row r="550" spans="1:21" x14ac:dyDescent="0.3">
      <c r="A550" t="s">
        <v>1142</v>
      </c>
      <c r="B550" s="1">
        <v>44672</v>
      </c>
      <c r="C550" t="s">
        <v>1143</v>
      </c>
      <c r="D550" s="3" t="s">
        <v>18</v>
      </c>
      <c r="E550" s="2">
        <v>20576</v>
      </c>
      <c r="F550" s="2">
        <v>5</v>
      </c>
      <c r="G550" s="4">
        <v>60</v>
      </c>
      <c r="H550" t="s">
        <v>19</v>
      </c>
      <c r="I550" t="s">
        <v>27</v>
      </c>
      <c r="J550" t="s">
        <v>21</v>
      </c>
      <c r="K550" s="2">
        <v>95982</v>
      </c>
      <c r="L550" t="s">
        <v>29</v>
      </c>
      <c r="M550" s="2">
        <v>0.48</v>
      </c>
      <c r="N550" s="2">
        <v>0.65</v>
      </c>
      <c r="O550" s="2">
        <v>21604.799999999999</v>
      </c>
      <c r="P550" s="2">
        <v>0</v>
      </c>
      <c r="Q550">
        <f t="shared" si="32"/>
        <v>31655.384615384613</v>
      </c>
      <c r="R550">
        <f t="shared" ca="1" si="33"/>
        <v>46</v>
      </c>
      <c r="S550" s="2">
        <f t="shared" si="34"/>
        <v>1028.7999999999993</v>
      </c>
      <c r="T550" s="18">
        <v>0.1</v>
      </c>
      <c r="U550">
        <f t="shared" si="35"/>
        <v>1131.6799999999994</v>
      </c>
    </row>
    <row r="551" spans="1:21" x14ac:dyDescent="0.3">
      <c r="A551" t="s">
        <v>1144</v>
      </c>
      <c r="B551" s="1">
        <v>44905</v>
      </c>
      <c r="C551" t="s">
        <v>1145</v>
      </c>
      <c r="D551" s="3" t="s">
        <v>53</v>
      </c>
      <c r="E551" s="2">
        <v>36946</v>
      </c>
      <c r="F551" s="2">
        <v>19.399999999999999</v>
      </c>
      <c r="G551" s="4">
        <v>60</v>
      </c>
      <c r="H551" t="s">
        <v>19</v>
      </c>
      <c r="I551" t="s">
        <v>36</v>
      </c>
      <c r="J551" t="s">
        <v>32</v>
      </c>
      <c r="K551" s="2">
        <v>66683</v>
      </c>
      <c r="L551" t="s">
        <v>29</v>
      </c>
      <c r="M551" s="2">
        <v>0.45</v>
      </c>
      <c r="N551" s="2">
        <v>0.73</v>
      </c>
      <c r="O551" s="2">
        <v>44113.52</v>
      </c>
      <c r="P551" s="2">
        <v>0</v>
      </c>
      <c r="Q551">
        <f t="shared" si="32"/>
        <v>50610.95890410959</v>
      </c>
      <c r="R551">
        <f t="shared" ca="1" si="33"/>
        <v>39</v>
      </c>
      <c r="S551" s="2">
        <f t="shared" si="34"/>
        <v>7167.5199999999968</v>
      </c>
      <c r="T551" s="18">
        <v>0.1</v>
      </c>
      <c r="U551">
        <f t="shared" si="35"/>
        <v>7884.2719999999972</v>
      </c>
    </row>
    <row r="552" spans="1:21" x14ac:dyDescent="0.3">
      <c r="A552" t="s">
        <v>1146</v>
      </c>
      <c r="B552" s="1">
        <v>44967</v>
      </c>
      <c r="C552" t="s">
        <v>1147</v>
      </c>
      <c r="D552" s="3" t="s">
        <v>46</v>
      </c>
      <c r="E552" s="2">
        <v>7116</v>
      </c>
      <c r="F552" s="2">
        <v>21.6</v>
      </c>
      <c r="G552" s="4">
        <v>60</v>
      </c>
      <c r="H552" t="s">
        <v>26</v>
      </c>
      <c r="I552" t="s">
        <v>20</v>
      </c>
      <c r="J552" t="s">
        <v>47</v>
      </c>
      <c r="K552" s="2">
        <v>144091</v>
      </c>
      <c r="L552" t="s">
        <v>22</v>
      </c>
      <c r="M552" s="2">
        <v>0.21</v>
      </c>
      <c r="N552" s="2">
        <v>0.86</v>
      </c>
      <c r="O552" s="2">
        <v>3149.61</v>
      </c>
      <c r="P552" s="2">
        <v>0</v>
      </c>
      <c r="Q552">
        <f t="shared" si="32"/>
        <v>8274.4186046511622</v>
      </c>
      <c r="R552">
        <f t="shared" ca="1" si="33"/>
        <v>37</v>
      </c>
      <c r="S552" s="2">
        <f t="shared" si="34"/>
        <v>-3966.39</v>
      </c>
      <c r="T552" s="18">
        <v>0.1</v>
      </c>
      <c r="U552">
        <f t="shared" si="35"/>
        <v>-4363.0290000000005</v>
      </c>
    </row>
    <row r="553" spans="1:21" x14ac:dyDescent="0.3">
      <c r="A553" t="s">
        <v>1148</v>
      </c>
      <c r="B553" s="1">
        <v>45243</v>
      </c>
      <c r="C553" t="s">
        <v>1149</v>
      </c>
      <c r="D553" s="3" t="s">
        <v>72</v>
      </c>
      <c r="E553" s="2">
        <v>16563</v>
      </c>
      <c r="F553" s="2">
        <v>5.8</v>
      </c>
      <c r="G553" s="4">
        <v>36</v>
      </c>
      <c r="H553" t="s">
        <v>26</v>
      </c>
      <c r="I553" t="s">
        <v>20</v>
      </c>
      <c r="J553" t="s">
        <v>28</v>
      </c>
      <c r="K553" s="2">
        <v>147797</v>
      </c>
      <c r="L553" t="s">
        <v>33</v>
      </c>
      <c r="M553" s="2">
        <v>0.18</v>
      </c>
      <c r="N553" s="2">
        <v>0.65</v>
      </c>
      <c r="O553" s="2">
        <v>6135.41</v>
      </c>
      <c r="P553" s="2">
        <v>0</v>
      </c>
      <c r="Q553">
        <f t="shared" si="32"/>
        <v>25481.538461538461</v>
      </c>
      <c r="R553">
        <f t="shared" ca="1" si="33"/>
        <v>28</v>
      </c>
      <c r="S553" s="2">
        <f t="shared" si="34"/>
        <v>-10427.59</v>
      </c>
      <c r="T553" s="18">
        <v>0.1</v>
      </c>
      <c r="U553">
        <f t="shared" si="35"/>
        <v>-11470.349000000002</v>
      </c>
    </row>
    <row r="554" spans="1:21" x14ac:dyDescent="0.3">
      <c r="A554" t="s">
        <v>1150</v>
      </c>
      <c r="B554" s="1">
        <v>45193</v>
      </c>
      <c r="C554" t="s">
        <v>1151</v>
      </c>
      <c r="D554" s="3" t="s">
        <v>40</v>
      </c>
      <c r="E554" s="2">
        <v>27788</v>
      </c>
      <c r="F554" s="2">
        <v>22.4</v>
      </c>
      <c r="G554" s="4">
        <v>36</v>
      </c>
      <c r="H554" t="s">
        <v>19</v>
      </c>
      <c r="I554" t="s">
        <v>84</v>
      </c>
      <c r="J554" t="s">
        <v>47</v>
      </c>
      <c r="K554" s="2">
        <v>47618</v>
      </c>
      <c r="L554" t="s">
        <v>22</v>
      </c>
      <c r="M554" s="2">
        <v>0.28999999999999998</v>
      </c>
      <c r="N554" s="2">
        <v>0.82</v>
      </c>
      <c r="O554" s="2">
        <v>34012.51</v>
      </c>
      <c r="P554" s="2">
        <v>0</v>
      </c>
      <c r="Q554">
        <f t="shared" si="32"/>
        <v>33887.804878048781</v>
      </c>
      <c r="R554">
        <f t="shared" ca="1" si="33"/>
        <v>29</v>
      </c>
      <c r="S554" s="2">
        <f t="shared" si="34"/>
        <v>6224.510000000002</v>
      </c>
      <c r="T554" s="18">
        <v>0.1</v>
      </c>
      <c r="U554">
        <f t="shared" si="35"/>
        <v>6846.961000000003</v>
      </c>
    </row>
    <row r="555" spans="1:21" x14ac:dyDescent="0.3">
      <c r="A555" t="s">
        <v>1152</v>
      </c>
      <c r="B555" s="1">
        <v>44873</v>
      </c>
      <c r="C555" t="s">
        <v>1153</v>
      </c>
      <c r="D555" s="3" t="s">
        <v>40</v>
      </c>
      <c r="E555" s="2">
        <v>27928</v>
      </c>
      <c r="F555" s="2">
        <v>10.1</v>
      </c>
      <c r="G555" s="4">
        <v>36</v>
      </c>
      <c r="H555" t="s">
        <v>26</v>
      </c>
      <c r="I555" t="s">
        <v>20</v>
      </c>
      <c r="J555" t="s">
        <v>32</v>
      </c>
      <c r="K555" s="2">
        <v>36587</v>
      </c>
      <c r="L555" t="s">
        <v>33</v>
      </c>
      <c r="M555" s="2">
        <v>0.1</v>
      </c>
      <c r="N555" s="2">
        <v>0.57999999999999996</v>
      </c>
      <c r="O555" s="2">
        <v>8685.1299999999992</v>
      </c>
      <c r="P555" s="2">
        <v>0</v>
      </c>
      <c r="Q555">
        <f t="shared" si="32"/>
        <v>48151.724137931036</v>
      </c>
      <c r="R555">
        <f t="shared" ca="1" si="33"/>
        <v>40</v>
      </c>
      <c r="S555" s="2">
        <f t="shared" si="34"/>
        <v>-19242.870000000003</v>
      </c>
      <c r="T555" s="18">
        <v>0.1</v>
      </c>
      <c r="U555">
        <f t="shared" si="35"/>
        <v>-21167.157000000003</v>
      </c>
    </row>
    <row r="556" spans="1:21" x14ac:dyDescent="0.3">
      <c r="A556" t="s">
        <v>1154</v>
      </c>
      <c r="B556" s="1">
        <v>44910</v>
      </c>
      <c r="C556" t="s">
        <v>1155</v>
      </c>
      <c r="D556" s="3" t="s">
        <v>56</v>
      </c>
      <c r="E556" s="2">
        <v>37336</v>
      </c>
      <c r="F556" s="2">
        <v>18.3</v>
      </c>
      <c r="G556" s="4">
        <v>36</v>
      </c>
      <c r="H556" t="s">
        <v>19</v>
      </c>
      <c r="I556" t="s">
        <v>41</v>
      </c>
      <c r="J556" t="s">
        <v>37</v>
      </c>
      <c r="K556" s="2">
        <v>92790</v>
      </c>
      <c r="L556" t="s">
        <v>33</v>
      </c>
      <c r="M556" s="2">
        <v>0.11</v>
      </c>
      <c r="N556" s="2">
        <v>0.84</v>
      </c>
      <c r="O556" s="2">
        <v>44168.49</v>
      </c>
      <c r="P556" s="2">
        <v>0</v>
      </c>
      <c r="Q556">
        <f t="shared" si="32"/>
        <v>44447.619047619046</v>
      </c>
      <c r="R556">
        <f t="shared" ca="1" si="33"/>
        <v>39</v>
      </c>
      <c r="S556" s="2">
        <f t="shared" si="34"/>
        <v>6832.489999999998</v>
      </c>
      <c r="T556" s="18">
        <v>0.1</v>
      </c>
      <c r="U556">
        <f t="shared" si="35"/>
        <v>7515.7389999999987</v>
      </c>
    </row>
    <row r="557" spans="1:21" x14ac:dyDescent="0.3">
      <c r="A557" t="s">
        <v>1156</v>
      </c>
      <c r="B557" s="1">
        <v>44279</v>
      </c>
      <c r="C557" t="s">
        <v>1157</v>
      </c>
      <c r="D557" s="3" t="s">
        <v>65</v>
      </c>
      <c r="E557" s="2">
        <v>10847</v>
      </c>
      <c r="F557" s="2">
        <v>21</v>
      </c>
      <c r="G557" s="4">
        <v>36</v>
      </c>
      <c r="H557" t="s">
        <v>81</v>
      </c>
      <c r="I557" t="s">
        <v>73</v>
      </c>
      <c r="J557" t="s">
        <v>37</v>
      </c>
      <c r="K557" s="2">
        <v>61480</v>
      </c>
      <c r="L557" t="s">
        <v>33</v>
      </c>
      <c r="M557" s="2">
        <v>0.32</v>
      </c>
      <c r="N557" s="2">
        <v>0.61</v>
      </c>
      <c r="O557" s="2">
        <v>1374.33</v>
      </c>
      <c r="P557" s="2">
        <v>4848.7</v>
      </c>
      <c r="Q557">
        <f t="shared" si="32"/>
        <v>17781.967213114753</v>
      </c>
      <c r="R557">
        <f t="shared" ca="1" si="33"/>
        <v>59</v>
      </c>
      <c r="S557" s="2">
        <f t="shared" si="34"/>
        <v>-4623.97</v>
      </c>
      <c r="T557" s="18">
        <v>0.1</v>
      </c>
      <c r="U557">
        <f t="shared" si="35"/>
        <v>-5086.3670000000011</v>
      </c>
    </row>
    <row r="558" spans="1:21" x14ac:dyDescent="0.3">
      <c r="A558" t="s">
        <v>1158</v>
      </c>
      <c r="B558" s="1">
        <v>44653</v>
      </c>
      <c r="C558" t="s">
        <v>1159</v>
      </c>
      <c r="D558" s="3" t="s">
        <v>46</v>
      </c>
      <c r="E558" s="2">
        <v>27155</v>
      </c>
      <c r="F558" s="2">
        <v>18.3</v>
      </c>
      <c r="G558" s="4">
        <v>36</v>
      </c>
      <c r="H558" t="s">
        <v>26</v>
      </c>
      <c r="I558" t="s">
        <v>27</v>
      </c>
      <c r="J558" t="s">
        <v>32</v>
      </c>
      <c r="K558" s="2">
        <v>128530</v>
      </c>
      <c r="L558" t="s">
        <v>22</v>
      </c>
      <c r="M558" s="2">
        <v>0.31</v>
      </c>
      <c r="N558" s="2">
        <v>0.56000000000000005</v>
      </c>
      <c r="O558" s="2">
        <v>9838.16</v>
      </c>
      <c r="P558" s="2">
        <v>0</v>
      </c>
      <c r="Q558">
        <f t="shared" si="32"/>
        <v>48491.071428571428</v>
      </c>
      <c r="R558">
        <f t="shared" ca="1" si="33"/>
        <v>47</v>
      </c>
      <c r="S558" s="2">
        <f t="shared" si="34"/>
        <v>-17316.84</v>
      </c>
      <c r="T558" s="18">
        <v>0.1</v>
      </c>
      <c r="U558">
        <f t="shared" si="35"/>
        <v>-19048.524000000001</v>
      </c>
    </row>
    <row r="559" spans="1:21" x14ac:dyDescent="0.3">
      <c r="A559" t="s">
        <v>1160</v>
      </c>
      <c r="B559" s="1">
        <v>44197</v>
      </c>
      <c r="C559" t="s">
        <v>1161</v>
      </c>
      <c r="D559" s="3" t="s">
        <v>40</v>
      </c>
      <c r="E559" s="2">
        <v>15135</v>
      </c>
      <c r="F559" s="2">
        <v>6.8</v>
      </c>
      <c r="G559" s="4">
        <v>60</v>
      </c>
      <c r="H559" t="s">
        <v>19</v>
      </c>
      <c r="I559" t="s">
        <v>20</v>
      </c>
      <c r="J559" t="s">
        <v>32</v>
      </c>
      <c r="K559" s="2">
        <v>50527</v>
      </c>
      <c r="L559" t="s">
        <v>22</v>
      </c>
      <c r="M559" s="2">
        <v>0.5</v>
      </c>
      <c r="N559" s="2">
        <v>0.57999999999999996</v>
      </c>
      <c r="O559" s="2">
        <v>16164.18</v>
      </c>
      <c r="P559" s="2">
        <v>0</v>
      </c>
      <c r="Q559">
        <f t="shared" si="32"/>
        <v>26094.827586206899</v>
      </c>
      <c r="R559">
        <f t="shared" ca="1" si="33"/>
        <v>62</v>
      </c>
      <c r="S559" s="2">
        <f t="shared" si="34"/>
        <v>1029.1800000000003</v>
      </c>
      <c r="T559" s="18">
        <v>0.1</v>
      </c>
      <c r="U559">
        <f t="shared" si="35"/>
        <v>1132.0980000000004</v>
      </c>
    </row>
    <row r="560" spans="1:21" x14ac:dyDescent="0.3">
      <c r="A560" t="s">
        <v>1162</v>
      </c>
      <c r="B560" s="1">
        <v>44247</v>
      </c>
      <c r="C560" t="s">
        <v>1163</v>
      </c>
      <c r="D560" s="3" t="s">
        <v>25</v>
      </c>
      <c r="E560" s="2">
        <v>18774</v>
      </c>
      <c r="F560" s="2">
        <v>16.899999999999999</v>
      </c>
      <c r="G560" s="4">
        <v>60</v>
      </c>
      <c r="H560" t="s">
        <v>26</v>
      </c>
      <c r="I560" t="s">
        <v>20</v>
      </c>
      <c r="J560" t="s">
        <v>28</v>
      </c>
      <c r="K560" s="2">
        <v>53569</v>
      </c>
      <c r="L560" t="s">
        <v>33</v>
      </c>
      <c r="M560" s="2">
        <v>0.18</v>
      </c>
      <c r="N560" s="2">
        <v>0.57999999999999996</v>
      </c>
      <c r="O560" s="2">
        <v>2344.62</v>
      </c>
      <c r="P560" s="2">
        <v>0</v>
      </c>
      <c r="Q560">
        <f t="shared" si="32"/>
        <v>32368.96551724138</v>
      </c>
      <c r="R560">
        <f t="shared" ca="1" si="33"/>
        <v>60</v>
      </c>
      <c r="S560" s="2">
        <f t="shared" si="34"/>
        <v>-16429.38</v>
      </c>
      <c r="T560" s="18">
        <v>0.1</v>
      </c>
      <c r="U560">
        <f t="shared" si="35"/>
        <v>-18072.318000000003</v>
      </c>
    </row>
    <row r="561" spans="1:21" x14ac:dyDescent="0.3">
      <c r="A561" t="s">
        <v>1164</v>
      </c>
      <c r="B561" s="1">
        <v>44881</v>
      </c>
      <c r="C561" t="s">
        <v>1165</v>
      </c>
      <c r="D561" s="3" t="s">
        <v>40</v>
      </c>
      <c r="E561" s="2">
        <v>2742</v>
      </c>
      <c r="F561" s="2">
        <v>16</v>
      </c>
      <c r="G561" s="4">
        <v>36</v>
      </c>
      <c r="H561" t="s">
        <v>19</v>
      </c>
      <c r="I561" t="s">
        <v>27</v>
      </c>
      <c r="J561" t="s">
        <v>21</v>
      </c>
      <c r="K561" s="2">
        <v>41151</v>
      </c>
      <c r="L561" t="s">
        <v>29</v>
      </c>
      <c r="M561" s="2">
        <v>0.2</v>
      </c>
      <c r="N561" s="2">
        <v>0.73</v>
      </c>
      <c r="O561" s="2">
        <v>3180.72</v>
      </c>
      <c r="P561" s="2">
        <v>0</v>
      </c>
      <c r="Q561">
        <f t="shared" si="32"/>
        <v>3756.1643835616437</v>
      </c>
      <c r="R561">
        <f t="shared" ca="1" si="33"/>
        <v>40</v>
      </c>
      <c r="S561" s="2">
        <f t="shared" si="34"/>
        <v>438.7199999999998</v>
      </c>
      <c r="T561" s="18">
        <v>0.1</v>
      </c>
      <c r="U561">
        <f t="shared" si="35"/>
        <v>482.59199999999981</v>
      </c>
    </row>
    <row r="562" spans="1:21" x14ac:dyDescent="0.3">
      <c r="A562" t="s">
        <v>1166</v>
      </c>
      <c r="B562" s="1">
        <v>44913</v>
      </c>
      <c r="C562" t="s">
        <v>1167</v>
      </c>
      <c r="D562" s="3" t="s">
        <v>56</v>
      </c>
      <c r="E562" s="2">
        <v>19309</v>
      </c>
      <c r="F562" s="2">
        <v>23</v>
      </c>
      <c r="G562" s="4">
        <v>36</v>
      </c>
      <c r="H562" t="s">
        <v>19</v>
      </c>
      <c r="I562" t="s">
        <v>36</v>
      </c>
      <c r="J562" t="s">
        <v>47</v>
      </c>
      <c r="K562" s="2">
        <v>101094</v>
      </c>
      <c r="L562" t="s">
        <v>29</v>
      </c>
      <c r="M562" s="2">
        <v>0.15</v>
      </c>
      <c r="N562" s="2">
        <v>0.88</v>
      </c>
      <c r="O562" s="2">
        <v>23750.07</v>
      </c>
      <c r="P562" s="2">
        <v>0</v>
      </c>
      <c r="Q562">
        <f t="shared" si="32"/>
        <v>21942.045454545456</v>
      </c>
      <c r="R562">
        <f t="shared" ca="1" si="33"/>
        <v>39</v>
      </c>
      <c r="S562" s="2">
        <f t="shared" si="34"/>
        <v>4441.07</v>
      </c>
      <c r="T562" s="18">
        <v>0.1</v>
      </c>
      <c r="U562">
        <f t="shared" si="35"/>
        <v>4885.1769999999997</v>
      </c>
    </row>
    <row r="563" spans="1:21" x14ac:dyDescent="0.3">
      <c r="A563" t="s">
        <v>1168</v>
      </c>
      <c r="B563" s="1">
        <v>44645</v>
      </c>
      <c r="C563" t="s">
        <v>1169</v>
      </c>
      <c r="D563" s="3" t="s">
        <v>50</v>
      </c>
      <c r="E563" s="2">
        <v>1619</v>
      </c>
      <c r="F563" s="2">
        <v>13.1</v>
      </c>
      <c r="G563" s="4">
        <v>60</v>
      </c>
      <c r="H563" t="s">
        <v>60</v>
      </c>
      <c r="I563" t="s">
        <v>41</v>
      </c>
      <c r="J563" t="s">
        <v>47</v>
      </c>
      <c r="K563" s="2">
        <v>89174</v>
      </c>
      <c r="L563" t="s">
        <v>29</v>
      </c>
      <c r="M563" s="2">
        <v>0.47</v>
      </c>
      <c r="N563" s="2">
        <v>0.54</v>
      </c>
      <c r="O563" s="2">
        <v>0</v>
      </c>
      <c r="P563" s="2">
        <v>0</v>
      </c>
      <c r="Q563">
        <f t="shared" si="32"/>
        <v>2998.1481481481478</v>
      </c>
      <c r="R563">
        <f t="shared" ca="1" si="33"/>
        <v>47</v>
      </c>
      <c r="S563" s="2">
        <f t="shared" si="34"/>
        <v>-1619</v>
      </c>
      <c r="T563" s="18">
        <v>0.1</v>
      </c>
      <c r="U563">
        <f t="shared" si="35"/>
        <v>-1780.9</v>
      </c>
    </row>
    <row r="564" spans="1:21" x14ac:dyDescent="0.3">
      <c r="A564" t="s">
        <v>1170</v>
      </c>
      <c r="B564" s="1">
        <v>45077</v>
      </c>
      <c r="C564" t="s">
        <v>1171</v>
      </c>
      <c r="D564" s="3" t="s">
        <v>76</v>
      </c>
      <c r="E564" s="2">
        <v>18658</v>
      </c>
      <c r="F564" s="2">
        <v>11.4</v>
      </c>
      <c r="G564" s="4">
        <v>60</v>
      </c>
      <c r="H564" t="s">
        <v>26</v>
      </c>
      <c r="I564" t="s">
        <v>20</v>
      </c>
      <c r="J564" t="s">
        <v>37</v>
      </c>
      <c r="K564" s="2">
        <v>74739</v>
      </c>
      <c r="L564" t="s">
        <v>33</v>
      </c>
      <c r="M564" s="2">
        <v>0.41</v>
      </c>
      <c r="N564" s="2">
        <v>0.82</v>
      </c>
      <c r="O564" s="2">
        <v>7535.32</v>
      </c>
      <c r="P564" s="2">
        <v>0</v>
      </c>
      <c r="Q564">
        <f t="shared" si="32"/>
        <v>22753.658536585368</v>
      </c>
      <c r="R564">
        <f t="shared" ca="1" si="33"/>
        <v>33</v>
      </c>
      <c r="S564" s="2">
        <f t="shared" si="34"/>
        <v>-11122.68</v>
      </c>
      <c r="T564" s="18">
        <v>0.1</v>
      </c>
      <c r="U564">
        <f t="shared" si="35"/>
        <v>-12234.948000000002</v>
      </c>
    </row>
    <row r="565" spans="1:21" x14ac:dyDescent="0.3">
      <c r="A565" t="s">
        <v>1172</v>
      </c>
      <c r="B565" s="1">
        <v>44684</v>
      </c>
      <c r="C565" t="s">
        <v>1173</v>
      </c>
      <c r="D565" s="3" t="s">
        <v>76</v>
      </c>
      <c r="E565" s="2">
        <v>35707</v>
      </c>
      <c r="F565" s="2">
        <v>20</v>
      </c>
      <c r="G565" s="4">
        <v>60</v>
      </c>
      <c r="H565" t="s">
        <v>19</v>
      </c>
      <c r="I565" t="s">
        <v>20</v>
      </c>
      <c r="J565" t="s">
        <v>37</v>
      </c>
      <c r="K565" s="2">
        <v>62954</v>
      </c>
      <c r="L565" t="s">
        <v>22</v>
      </c>
      <c r="M565" s="2">
        <v>0.43</v>
      </c>
      <c r="N565" s="2">
        <v>0.79</v>
      </c>
      <c r="O565" s="2">
        <v>42848.4</v>
      </c>
      <c r="P565" s="2">
        <v>0</v>
      </c>
      <c r="Q565">
        <f t="shared" si="32"/>
        <v>45198.734177215185</v>
      </c>
      <c r="R565">
        <f t="shared" ca="1" si="33"/>
        <v>46</v>
      </c>
      <c r="S565" s="2">
        <f t="shared" si="34"/>
        <v>7141.4000000000015</v>
      </c>
      <c r="T565" s="18">
        <v>0.1</v>
      </c>
      <c r="U565">
        <f t="shared" si="35"/>
        <v>7855.5400000000018</v>
      </c>
    </row>
    <row r="566" spans="1:21" x14ac:dyDescent="0.3">
      <c r="A566" t="s">
        <v>1174</v>
      </c>
      <c r="B566" s="1">
        <v>44230</v>
      </c>
      <c r="C566" t="s">
        <v>1175</v>
      </c>
      <c r="D566" s="3" t="s">
        <v>25</v>
      </c>
      <c r="E566" s="2">
        <v>21337</v>
      </c>
      <c r="F566" s="2">
        <v>13.3</v>
      </c>
      <c r="G566" s="4">
        <v>36</v>
      </c>
      <c r="H566" t="s">
        <v>19</v>
      </c>
      <c r="I566" t="s">
        <v>20</v>
      </c>
      <c r="J566" t="s">
        <v>28</v>
      </c>
      <c r="K566" s="2">
        <v>142984</v>
      </c>
      <c r="L566" t="s">
        <v>33</v>
      </c>
      <c r="M566" s="2">
        <v>0.46</v>
      </c>
      <c r="N566" s="2">
        <v>0.89</v>
      </c>
      <c r="O566" s="2">
        <v>24174.82</v>
      </c>
      <c r="P566" s="2">
        <v>0</v>
      </c>
      <c r="Q566">
        <f t="shared" si="32"/>
        <v>23974.157303370786</v>
      </c>
      <c r="R566">
        <f t="shared" ca="1" si="33"/>
        <v>61</v>
      </c>
      <c r="S566" s="2">
        <f t="shared" si="34"/>
        <v>2837.8199999999997</v>
      </c>
      <c r="T566" s="18">
        <v>0.1</v>
      </c>
      <c r="U566">
        <f t="shared" si="35"/>
        <v>3121.6019999999999</v>
      </c>
    </row>
    <row r="567" spans="1:21" x14ac:dyDescent="0.3">
      <c r="A567" t="s">
        <v>1176</v>
      </c>
      <c r="B567" s="1">
        <v>44291</v>
      </c>
      <c r="C567" t="s">
        <v>1177</v>
      </c>
      <c r="D567" s="3" t="s">
        <v>25</v>
      </c>
      <c r="E567" s="2">
        <v>17001</v>
      </c>
      <c r="F567" s="2">
        <v>17.899999999999999</v>
      </c>
      <c r="G567" s="4">
        <v>60</v>
      </c>
      <c r="H567" t="s">
        <v>19</v>
      </c>
      <c r="I567" t="s">
        <v>84</v>
      </c>
      <c r="J567" t="s">
        <v>32</v>
      </c>
      <c r="K567" s="2">
        <v>142863</v>
      </c>
      <c r="L567" t="s">
        <v>29</v>
      </c>
      <c r="M567" s="2">
        <v>0.31</v>
      </c>
      <c r="N567" s="2">
        <v>0.61</v>
      </c>
      <c r="O567" s="2">
        <v>20044.18</v>
      </c>
      <c r="P567" s="2">
        <v>0</v>
      </c>
      <c r="Q567">
        <f t="shared" si="32"/>
        <v>27870.491803278688</v>
      </c>
      <c r="R567">
        <f t="shared" ca="1" si="33"/>
        <v>59</v>
      </c>
      <c r="S567" s="2">
        <f t="shared" si="34"/>
        <v>3043.1800000000003</v>
      </c>
      <c r="T567" s="18">
        <v>0.1</v>
      </c>
      <c r="U567">
        <f t="shared" si="35"/>
        <v>3347.4980000000005</v>
      </c>
    </row>
    <row r="568" spans="1:21" x14ac:dyDescent="0.3">
      <c r="A568" t="s">
        <v>1178</v>
      </c>
      <c r="B568" s="1">
        <v>44350</v>
      </c>
      <c r="C568" t="s">
        <v>1179</v>
      </c>
      <c r="D568" s="3" t="s">
        <v>53</v>
      </c>
      <c r="E568" s="2">
        <v>1968</v>
      </c>
      <c r="F568" s="2">
        <v>17.899999999999999</v>
      </c>
      <c r="G568" s="4">
        <v>36</v>
      </c>
      <c r="H568" t="s">
        <v>60</v>
      </c>
      <c r="I568" t="s">
        <v>57</v>
      </c>
      <c r="J568" t="s">
        <v>47</v>
      </c>
      <c r="K568" s="2">
        <v>139373</v>
      </c>
      <c r="L568" t="s">
        <v>22</v>
      </c>
      <c r="M568" s="2">
        <v>0.28000000000000003</v>
      </c>
      <c r="N568" s="2">
        <v>0.7</v>
      </c>
      <c r="O568" s="2">
        <v>0</v>
      </c>
      <c r="P568" s="2">
        <v>0</v>
      </c>
      <c r="Q568">
        <f t="shared" si="32"/>
        <v>2811.4285714285716</v>
      </c>
      <c r="R568">
        <f t="shared" ca="1" si="33"/>
        <v>57</v>
      </c>
      <c r="S568" s="2">
        <f t="shared" si="34"/>
        <v>-1968</v>
      </c>
      <c r="T568" s="18">
        <v>0.1</v>
      </c>
      <c r="U568">
        <f t="shared" si="35"/>
        <v>-2164.8000000000002</v>
      </c>
    </row>
    <row r="569" spans="1:21" x14ac:dyDescent="0.3">
      <c r="A569" t="s">
        <v>1180</v>
      </c>
      <c r="B569" s="1">
        <v>44446</v>
      </c>
      <c r="C569" t="s">
        <v>1181</v>
      </c>
      <c r="D569" s="3" t="s">
        <v>76</v>
      </c>
      <c r="E569" s="2">
        <v>26892</v>
      </c>
      <c r="F569" s="2">
        <v>22.8</v>
      </c>
      <c r="G569" s="4">
        <v>36</v>
      </c>
      <c r="H569" t="s">
        <v>19</v>
      </c>
      <c r="I569" t="s">
        <v>20</v>
      </c>
      <c r="J569" t="s">
        <v>28</v>
      </c>
      <c r="K569" s="2">
        <v>65303</v>
      </c>
      <c r="L569" t="s">
        <v>33</v>
      </c>
      <c r="M569" s="2">
        <v>0.23</v>
      </c>
      <c r="N569" s="2">
        <v>0.92</v>
      </c>
      <c r="O569" s="2">
        <v>33023.379999999997</v>
      </c>
      <c r="P569" s="2">
        <v>0</v>
      </c>
      <c r="Q569">
        <f t="shared" si="32"/>
        <v>29230.434782608696</v>
      </c>
      <c r="R569">
        <f t="shared" ca="1" si="33"/>
        <v>54</v>
      </c>
      <c r="S569" s="2">
        <f t="shared" si="34"/>
        <v>6131.3799999999974</v>
      </c>
      <c r="T569" s="18">
        <v>0.1</v>
      </c>
      <c r="U569">
        <f t="shared" si="35"/>
        <v>6744.5179999999973</v>
      </c>
    </row>
    <row r="570" spans="1:21" x14ac:dyDescent="0.3">
      <c r="A570" t="s">
        <v>1182</v>
      </c>
      <c r="B570" s="1">
        <v>44870</v>
      </c>
      <c r="C570" t="s">
        <v>1183</v>
      </c>
      <c r="D570" s="3" t="s">
        <v>50</v>
      </c>
      <c r="E570" s="2">
        <v>26619</v>
      </c>
      <c r="F570" s="2">
        <v>17</v>
      </c>
      <c r="G570" s="4">
        <v>60</v>
      </c>
      <c r="H570" t="s">
        <v>19</v>
      </c>
      <c r="I570" t="s">
        <v>20</v>
      </c>
      <c r="J570" t="s">
        <v>37</v>
      </c>
      <c r="K570" s="2">
        <v>64700</v>
      </c>
      <c r="L570" t="s">
        <v>33</v>
      </c>
      <c r="M570" s="2">
        <v>0.34</v>
      </c>
      <c r="N570" s="2">
        <v>0.8</v>
      </c>
      <c r="O570" s="2">
        <v>31144.23</v>
      </c>
      <c r="P570" s="2">
        <v>0</v>
      </c>
      <c r="Q570">
        <f t="shared" si="32"/>
        <v>33273.75</v>
      </c>
      <c r="R570">
        <f t="shared" ca="1" si="33"/>
        <v>40</v>
      </c>
      <c r="S570" s="2">
        <f t="shared" si="34"/>
        <v>4525.2299999999996</v>
      </c>
      <c r="T570" s="18">
        <v>0.1</v>
      </c>
      <c r="U570">
        <f t="shared" si="35"/>
        <v>4977.7529999999997</v>
      </c>
    </row>
    <row r="571" spans="1:21" x14ac:dyDescent="0.3">
      <c r="A571" t="s">
        <v>1184</v>
      </c>
      <c r="B571" s="1">
        <v>44634</v>
      </c>
      <c r="C571" t="s">
        <v>1185</v>
      </c>
      <c r="D571" s="3" t="s">
        <v>76</v>
      </c>
      <c r="E571" s="2">
        <v>1281</v>
      </c>
      <c r="F571" s="2">
        <v>15</v>
      </c>
      <c r="G571" s="4">
        <v>60</v>
      </c>
      <c r="H571" t="s">
        <v>19</v>
      </c>
      <c r="I571" t="s">
        <v>57</v>
      </c>
      <c r="J571" t="s">
        <v>37</v>
      </c>
      <c r="K571" s="2">
        <v>123036</v>
      </c>
      <c r="L571" t="s">
        <v>29</v>
      </c>
      <c r="M571" s="2">
        <v>0.28000000000000003</v>
      </c>
      <c r="N571" s="2">
        <v>0.67</v>
      </c>
      <c r="O571" s="2">
        <v>1473.15</v>
      </c>
      <c r="P571" s="2">
        <v>0</v>
      </c>
      <c r="Q571">
        <f t="shared" si="32"/>
        <v>1911.9402985074626</v>
      </c>
      <c r="R571">
        <f t="shared" ca="1" si="33"/>
        <v>48</v>
      </c>
      <c r="S571" s="2">
        <f t="shared" si="34"/>
        <v>192.15000000000009</v>
      </c>
      <c r="T571" s="18">
        <v>0.1</v>
      </c>
      <c r="U571">
        <f t="shared" si="35"/>
        <v>211.36500000000012</v>
      </c>
    </row>
    <row r="572" spans="1:21" x14ac:dyDescent="0.3">
      <c r="A572" t="s">
        <v>1186</v>
      </c>
      <c r="B572" s="1">
        <v>44314</v>
      </c>
      <c r="C572" t="s">
        <v>1187</v>
      </c>
      <c r="D572" s="3" t="s">
        <v>65</v>
      </c>
      <c r="E572" s="2">
        <v>28420</v>
      </c>
      <c r="F572" s="2">
        <v>7.8</v>
      </c>
      <c r="G572" s="4">
        <v>36</v>
      </c>
      <c r="H572" t="s">
        <v>19</v>
      </c>
      <c r="I572" t="s">
        <v>41</v>
      </c>
      <c r="J572" t="s">
        <v>47</v>
      </c>
      <c r="K572" s="2">
        <v>97568</v>
      </c>
      <c r="L572" t="s">
        <v>33</v>
      </c>
      <c r="M572" s="2">
        <v>0.28000000000000003</v>
      </c>
      <c r="N572" s="2">
        <v>0.56000000000000005</v>
      </c>
      <c r="O572" s="2">
        <v>30636.76</v>
      </c>
      <c r="P572" s="2">
        <v>0</v>
      </c>
      <c r="Q572">
        <f t="shared" si="32"/>
        <v>50749.999999999993</v>
      </c>
      <c r="R572">
        <f t="shared" ca="1" si="33"/>
        <v>58</v>
      </c>
      <c r="S572" s="2">
        <f t="shared" si="34"/>
        <v>2216.7599999999984</v>
      </c>
      <c r="T572" s="18">
        <v>0.1</v>
      </c>
      <c r="U572">
        <f t="shared" si="35"/>
        <v>2438.4359999999983</v>
      </c>
    </row>
    <row r="573" spans="1:21" x14ac:dyDescent="0.3">
      <c r="A573" t="s">
        <v>1188</v>
      </c>
      <c r="B573" s="1">
        <v>44967</v>
      </c>
      <c r="C573" t="s">
        <v>1189</v>
      </c>
      <c r="D573" s="3" t="s">
        <v>46</v>
      </c>
      <c r="E573" s="2">
        <v>16360</v>
      </c>
      <c r="F573" s="2">
        <v>7.3</v>
      </c>
      <c r="G573" s="4">
        <v>60</v>
      </c>
      <c r="H573" t="s">
        <v>19</v>
      </c>
      <c r="I573" t="s">
        <v>73</v>
      </c>
      <c r="J573" t="s">
        <v>37</v>
      </c>
      <c r="K573" s="2">
        <v>96788</v>
      </c>
      <c r="L573" t="s">
        <v>22</v>
      </c>
      <c r="M573" s="2">
        <v>0.47</v>
      </c>
      <c r="N573" s="2">
        <v>0.62</v>
      </c>
      <c r="O573" s="2">
        <v>17554.28</v>
      </c>
      <c r="P573" s="2">
        <v>0</v>
      </c>
      <c r="Q573">
        <f t="shared" si="32"/>
        <v>26387.096774193549</v>
      </c>
      <c r="R573">
        <f t="shared" ca="1" si="33"/>
        <v>37</v>
      </c>
      <c r="S573" s="2">
        <f t="shared" si="34"/>
        <v>1194.2799999999988</v>
      </c>
      <c r="T573" s="18">
        <v>0.1</v>
      </c>
      <c r="U573">
        <f t="shared" si="35"/>
        <v>1313.7079999999987</v>
      </c>
    </row>
    <row r="574" spans="1:21" x14ac:dyDescent="0.3">
      <c r="A574" t="s">
        <v>1190</v>
      </c>
      <c r="B574" s="1">
        <v>44464</v>
      </c>
      <c r="C574" t="s">
        <v>1191</v>
      </c>
      <c r="D574" s="3" t="s">
        <v>76</v>
      </c>
      <c r="E574" s="2">
        <v>2058</v>
      </c>
      <c r="F574" s="2">
        <v>8.1</v>
      </c>
      <c r="G574" s="4">
        <v>60</v>
      </c>
      <c r="H574" t="s">
        <v>19</v>
      </c>
      <c r="I574" t="s">
        <v>20</v>
      </c>
      <c r="J574" t="s">
        <v>37</v>
      </c>
      <c r="K574" s="2">
        <v>101045</v>
      </c>
      <c r="L574" t="s">
        <v>29</v>
      </c>
      <c r="M574" s="2">
        <v>0.49</v>
      </c>
      <c r="N574" s="2">
        <v>0.76</v>
      </c>
      <c r="O574" s="2">
        <v>2224.6999999999998</v>
      </c>
      <c r="P574" s="2">
        <v>0</v>
      </c>
      <c r="Q574">
        <f t="shared" si="32"/>
        <v>2707.8947368421054</v>
      </c>
      <c r="R574">
        <f t="shared" ca="1" si="33"/>
        <v>53</v>
      </c>
      <c r="S574" s="2">
        <f t="shared" si="34"/>
        <v>166.69999999999982</v>
      </c>
      <c r="T574" s="18">
        <v>0.1</v>
      </c>
      <c r="U574">
        <f t="shared" si="35"/>
        <v>183.36999999999981</v>
      </c>
    </row>
    <row r="575" spans="1:21" x14ac:dyDescent="0.3">
      <c r="A575" t="s">
        <v>1192</v>
      </c>
      <c r="B575" s="1">
        <v>45274</v>
      </c>
      <c r="C575" t="s">
        <v>1193</v>
      </c>
      <c r="D575" s="3" t="s">
        <v>18</v>
      </c>
      <c r="E575" s="2">
        <v>21677</v>
      </c>
      <c r="F575" s="2">
        <v>8.4</v>
      </c>
      <c r="G575" s="4">
        <v>36</v>
      </c>
      <c r="H575" t="s">
        <v>19</v>
      </c>
      <c r="I575" t="s">
        <v>57</v>
      </c>
      <c r="J575" t="s">
        <v>21</v>
      </c>
      <c r="K575" s="2">
        <v>67842</v>
      </c>
      <c r="L575" t="s">
        <v>29</v>
      </c>
      <c r="M575" s="2">
        <v>0.42</v>
      </c>
      <c r="N575" s="2">
        <v>0.82</v>
      </c>
      <c r="O575" s="2">
        <v>23497.87</v>
      </c>
      <c r="P575" s="2">
        <v>0</v>
      </c>
      <c r="Q575">
        <f t="shared" si="32"/>
        <v>26435.365853658539</v>
      </c>
      <c r="R575">
        <f t="shared" ca="1" si="33"/>
        <v>27</v>
      </c>
      <c r="S575" s="2">
        <f t="shared" si="34"/>
        <v>1820.869999999999</v>
      </c>
      <c r="T575" s="18">
        <v>0.1</v>
      </c>
      <c r="U575">
        <f t="shared" si="35"/>
        <v>2002.956999999999</v>
      </c>
    </row>
    <row r="576" spans="1:21" x14ac:dyDescent="0.3">
      <c r="A576" t="s">
        <v>1194</v>
      </c>
      <c r="B576" s="1">
        <v>44432</v>
      </c>
      <c r="C576" t="s">
        <v>1195</v>
      </c>
      <c r="D576" s="3" t="s">
        <v>53</v>
      </c>
      <c r="E576" s="2">
        <v>11724</v>
      </c>
      <c r="F576" s="2">
        <v>17.8</v>
      </c>
      <c r="G576" s="4">
        <v>60</v>
      </c>
      <c r="H576" t="s">
        <v>19</v>
      </c>
      <c r="I576" t="s">
        <v>57</v>
      </c>
      <c r="J576" t="s">
        <v>32</v>
      </c>
      <c r="K576" s="2">
        <v>43900</v>
      </c>
      <c r="L576" t="s">
        <v>22</v>
      </c>
      <c r="M576" s="2">
        <v>0.4</v>
      </c>
      <c r="N576" s="2">
        <v>0.56000000000000005</v>
      </c>
      <c r="O576" s="2">
        <v>13810.87</v>
      </c>
      <c r="P576" s="2">
        <v>0</v>
      </c>
      <c r="Q576">
        <f t="shared" si="32"/>
        <v>20935.714285714283</v>
      </c>
      <c r="R576">
        <f t="shared" ca="1" si="33"/>
        <v>54</v>
      </c>
      <c r="S576" s="2">
        <f t="shared" si="34"/>
        <v>2086.8700000000008</v>
      </c>
      <c r="T576" s="18">
        <v>0.1</v>
      </c>
      <c r="U576">
        <f t="shared" si="35"/>
        <v>2295.5570000000012</v>
      </c>
    </row>
    <row r="577" spans="1:21" x14ac:dyDescent="0.3">
      <c r="A577" t="s">
        <v>1196</v>
      </c>
      <c r="B577" s="1">
        <v>44585</v>
      </c>
      <c r="C577" t="s">
        <v>1197</v>
      </c>
      <c r="D577" s="3" t="s">
        <v>56</v>
      </c>
      <c r="E577" s="2">
        <v>29404</v>
      </c>
      <c r="F577" s="2">
        <v>19.8</v>
      </c>
      <c r="G577" s="4">
        <v>36</v>
      </c>
      <c r="H577" t="s">
        <v>81</v>
      </c>
      <c r="I577" t="s">
        <v>20</v>
      </c>
      <c r="J577" t="s">
        <v>37</v>
      </c>
      <c r="K577" s="2">
        <v>110059</v>
      </c>
      <c r="L577" t="s">
        <v>29</v>
      </c>
      <c r="M577" s="2">
        <v>0.37</v>
      </c>
      <c r="N577" s="2">
        <v>0.77</v>
      </c>
      <c r="O577" s="2">
        <v>5146.2</v>
      </c>
      <c r="P577" s="2">
        <v>7396.67</v>
      </c>
      <c r="Q577">
        <f t="shared" si="32"/>
        <v>38187.012987012989</v>
      </c>
      <c r="R577">
        <f t="shared" ca="1" si="33"/>
        <v>49</v>
      </c>
      <c r="S577" s="2">
        <f t="shared" si="34"/>
        <v>-16861.13</v>
      </c>
      <c r="T577" s="18">
        <v>0.1</v>
      </c>
      <c r="U577">
        <f t="shared" si="35"/>
        <v>-18547.243000000002</v>
      </c>
    </row>
    <row r="578" spans="1:21" x14ac:dyDescent="0.3">
      <c r="A578" t="s">
        <v>1198</v>
      </c>
      <c r="B578" s="1">
        <v>45186</v>
      </c>
      <c r="C578" t="s">
        <v>1199</v>
      </c>
      <c r="D578" s="3" t="s">
        <v>25</v>
      </c>
      <c r="E578" s="2">
        <v>38946</v>
      </c>
      <c r="F578" s="2">
        <v>15.6</v>
      </c>
      <c r="G578" s="4">
        <v>36</v>
      </c>
      <c r="H578" t="s">
        <v>19</v>
      </c>
      <c r="I578" t="s">
        <v>20</v>
      </c>
      <c r="J578" t="s">
        <v>21</v>
      </c>
      <c r="K578" s="2">
        <v>31881</v>
      </c>
      <c r="L578" t="s">
        <v>33</v>
      </c>
      <c r="M578" s="2">
        <v>0.17</v>
      </c>
      <c r="N578" s="2">
        <v>0.75</v>
      </c>
      <c r="O578" s="2">
        <v>45021.58</v>
      </c>
      <c r="P578" s="2">
        <v>0</v>
      </c>
      <c r="Q578">
        <f t="shared" si="32"/>
        <v>51928</v>
      </c>
      <c r="R578">
        <f t="shared" ca="1" si="33"/>
        <v>30</v>
      </c>
      <c r="S578" s="2">
        <f t="shared" si="34"/>
        <v>6075.5800000000017</v>
      </c>
      <c r="T578" s="18">
        <v>0.1</v>
      </c>
      <c r="U578">
        <f t="shared" si="35"/>
        <v>6683.1380000000026</v>
      </c>
    </row>
    <row r="579" spans="1:21" x14ac:dyDescent="0.3">
      <c r="A579" t="s">
        <v>1200</v>
      </c>
      <c r="B579" s="1">
        <v>44959</v>
      </c>
      <c r="C579" t="s">
        <v>1201</v>
      </c>
      <c r="D579" s="3" t="s">
        <v>65</v>
      </c>
      <c r="E579" s="2">
        <v>30856</v>
      </c>
      <c r="F579" s="2">
        <v>21.6</v>
      </c>
      <c r="G579" s="4">
        <v>60</v>
      </c>
      <c r="H579" t="s">
        <v>26</v>
      </c>
      <c r="I579" t="s">
        <v>27</v>
      </c>
      <c r="J579" t="s">
        <v>28</v>
      </c>
      <c r="K579" s="2">
        <v>63037</v>
      </c>
      <c r="L579" t="s">
        <v>33</v>
      </c>
      <c r="M579" s="2">
        <v>0.12</v>
      </c>
      <c r="N579" s="2">
        <v>0.73</v>
      </c>
      <c r="O579" s="2">
        <v>7333.61</v>
      </c>
      <c r="P579" s="2">
        <v>0</v>
      </c>
      <c r="Q579">
        <f t="shared" ref="Q579:Q642" si="36">E579/N579</f>
        <v>42268.493150684932</v>
      </c>
      <c r="R579">
        <f t="shared" ref="R579:R642" ca="1" si="37">DATEDIF(B579, TODAY(), "M")</f>
        <v>37</v>
      </c>
      <c r="S579" s="2">
        <f t="shared" ref="S579:S642" si="38">(O579+P579)-E579</f>
        <v>-23522.39</v>
      </c>
      <c r="T579" s="18">
        <v>0.1</v>
      </c>
      <c r="U579">
        <f t="shared" ref="U579:U642" si="39">S579*(1+T579)</f>
        <v>-25874.629000000001</v>
      </c>
    </row>
    <row r="580" spans="1:21" x14ac:dyDescent="0.3">
      <c r="A580" t="s">
        <v>1202</v>
      </c>
      <c r="B580" s="1">
        <v>44597</v>
      </c>
      <c r="C580" t="s">
        <v>1203</v>
      </c>
      <c r="D580" s="3" t="s">
        <v>25</v>
      </c>
      <c r="E580" s="2">
        <v>10200</v>
      </c>
      <c r="F580" s="2">
        <v>24.8</v>
      </c>
      <c r="G580" s="4">
        <v>36</v>
      </c>
      <c r="H580" t="s">
        <v>26</v>
      </c>
      <c r="I580" t="s">
        <v>20</v>
      </c>
      <c r="J580" t="s">
        <v>37</v>
      </c>
      <c r="K580" s="2">
        <v>31630</v>
      </c>
      <c r="L580" t="s">
        <v>29</v>
      </c>
      <c r="M580" s="2">
        <v>0.38</v>
      </c>
      <c r="N580" s="2">
        <v>0.81</v>
      </c>
      <c r="O580" s="2">
        <v>2118.66</v>
      </c>
      <c r="P580" s="2">
        <v>0</v>
      </c>
      <c r="Q580">
        <f t="shared" si="36"/>
        <v>12592.592592592591</v>
      </c>
      <c r="R580">
        <f t="shared" ca="1" si="37"/>
        <v>49</v>
      </c>
      <c r="S580" s="2">
        <f t="shared" si="38"/>
        <v>-8081.34</v>
      </c>
      <c r="T580" s="18">
        <v>0.1</v>
      </c>
      <c r="U580">
        <f t="shared" si="39"/>
        <v>-8889.4740000000002</v>
      </c>
    </row>
    <row r="581" spans="1:21" x14ac:dyDescent="0.3">
      <c r="A581" t="s">
        <v>1204</v>
      </c>
      <c r="B581" s="1">
        <v>44820</v>
      </c>
      <c r="C581" t="s">
        <v>1205</v>
      </c>
      <c r="D581" s="3" t="s">
        <v>53</v>
      </c>
      <c r="E581" s="2">
        <v>34997</v>
      </c>
      <c r="F581" s="2">
        <v>21.4</v>
      </c>
      <c r="G581" s="4">
        <v>36</v>
      </c>
      <c r="H581" t="s">
        <v>26</v>
      </c>
      <c r="I581" t="s">
        <v>20</v>
      </c>
      <c r="J581" t="s">
        <v>28</v>
      </c>
      <c r="K581" s="2">
        <v>50789</v>
      </c>
      <c r="L581" t="s">
        <v>22</v>
      </c>
      <c r="M581" s="2">
        <v>0.39</v>
      </c>
      <c r="N581" s="2">
        <v>0.88</v>
      </c>
      <c r="O581" s="2">
        <v>15275.01</v>
      </c>
      <c r="P581" s="2">
        <v>0</v>
      </c>
      <c r="Q581">
        <f t="shared" si="36"/>
        <v>39769.318181818184</v>
      </c>
      <c r="R581">
        <f t="shared" ca="1" si="37"/>
        <v>42</v>
      </c>
      <c r="S581" s="2">
        <f t="shared" si="38"/>
        <v>-19721.989999999998</v>
      </c>
      <c r="T581" s="18">
        <v>0.1</v>
      </c>
      <c r="U581">
        <f t="shared" si="39"/>
        <v>-21694.188999999998</v>
      </c>
    </row>
    <row r="582" spans="1:21" x14ac:dyDescent="0.3">
      <c r="A582" t="s">
        <v>1206</v>
      </c>
      <c r="B582" s="1">
        <v>44963</v>
      </c>
      <c r="C582" t="s">
        <v>1207</v>
      </c>
      <c r="D582" s="3" t="s">
        <v>40</v>
      </c>
      <c r="E582" s="2">
        <v>26611</v>
      </c>
      <c r="F582" s="2">
        <v>18.899999999999999</v>
      </c>
      <c r="G582" s="4">
        <v>60</v>
      </c>
      <c r="H582" t="s">
        <v>81</v>
      </c>
      <c r="I582" t="s">
        <v>57</v>
      </c>
      <c r="J582" t="s">
        <v>37</v>
      </c>
      <c r="K582" s="2">
        <v>118059</v>
      </c>
      <c r="L582" t="s">
        <v>33</v>
      </c>
      <c r="M582" s="2">
        <v>0.12</v>
      </c>
      <c r="N582" s="2">
        <v>0.65</v>
      </c>
      <c r="O582" s="2">
        <v>3671.34</v>
      </c>
      <c r="P582" s="2">
        <v>13658.29</v>
      </c>
      <c r="Q582">
        <f t="shared" si="36"/>
        <v>40940</v>
      </c>
      <c r="R582">
        <f t="shared" ca="1" si="37"/>
        <v>37</v>
      </c>
      <c r="S582" s="2">
        <f t="shared" si="38"/>
        <v>-9281.369999999999</v>
      </c>
      <c r="T582" s="18">
        <v>0.1</v>
      </c>
      <c r="U582">
        <f t="shared" si="39"/>
        <v>-10209.507</v>
      </c>
    </row>
    <row r="583" spans="1:21" x14ac:dyDescent="0.3">
      <c r="A583" t="s">
        <v>1208</v>
      </c>
      <c r="B583" s="1">
        <v>45115</v>
      </c>
      <c r="C583" t="s">
        <v>1209</v>
      </c>
      <c r="D583" s="3" t="s">
        <v>65</v>
      </c>
      <c r="E583" s="2">
        <v>36057</v>
      </c>
      <c r="F583" s="2">
        <v>15.6</v>
      </c>
      <c r="G583" s="4">
        <v>60</v>
      </c>
      <c r="H583" t="s">
        <v>19</v>
      </c>
      <c r="I583" t="s">
        <v>27</v>
      </c>
      <c r="J583" t="s">
        <v>47</v>
      </c>
      <c r="K583" s="2">
        <v>113494</v>
      </c>
      <c r="L583" t="s">
        <v>22</v>
      </c>
      <c r="M583" s="2">
        <v>0.47</v>
      </c>
      <c r="N583" s="2">
        <v>0.9</v>
      </c>
      <c r="O583" s="2">
        <v>41681.89</v>
      </c>
      <c r="P583" s="2">
        <v>0</v>
      </c>
      <c r="Q583">
        <f t="shared" si="36"/>
        <v>40063.333333333336</v>
      </c>
      <c r="R583">
        <f t="shared" ca="1" si="37"/>
        <v>32</v>
      </c>
      <c r="S583" s="2">
        <f t="shared" si="38"/>
        <v>5624.8899999999994</v>
      </c>
      <c r="T583" s="18">
        <v>0.1</v>
      </c>
      <c r="U583">
        <f t="shared" si="39"/>
        <v>6187.3789999999999</v>
      </c>
    </row>
    <row r="584" spans="1:21" x14ac:dyDescent="0.3">
      <c r="A584" t="s">
        <v>1210</v>
      </c>
      <c r="B584" s="1">
        <v>45049</v>
      </c>
      <c r="C584" t="s">
        <v>1211</v>
      </c>
      <c r="D584" s="3" t="s">
        <v>72</v>
      </c>
      <c r="E584" s="2">
        <v>2239</v>
      </c>
      <c r="F584" s="2">
        <v>14</v>
      </c>
      <c r="G584" s="4">
        <v>60</v>
      </c>
      <c r="H584" t="s">
        <v>19</v>
      </c>
      <c r="I584" t="s">
        <v>73</v>
      </c>
      <c r="J584" t="s">
        <v>21</v>
      </c>
      <c r="K584" s="2">
        <v>76151</v>
      </c>
      <c r="L584" t="s">
        <v>33</v>
      </c>
      <c r="M584" s="2">
        <v>0.14000000000000001</v>
      </c>
      <c r="N584" s="2">
        <v>0.56999999999999995</v>
      </c>
      <c r="O584" s="2">
        <v>2552.46</v>
      </c>
      <c r="P584" s="2">
        <v>0</v>
      </c>
      <c r="Q584">
        <f t="shared" si="36"/>
        <v>3928.0701754385968</v>
      </c>
      <c r="R584">
        <f t="shared" ca="1" si="37"/>
        <v>34</v>
      </c>
      <c r="S584" s="2">
        <f t="shared" si="38"/>
        <v>313.46000000000004</v>
      </c>
      <c r="T584" s="18">
        <v>0.1</v>
      </c>
      <c r="U584">
        <f t="shared" si="39"/>
        <v>344.80600000000004</v>
      </c>
    </row>
    <row r="585" spans="1:21" x14ac:dyDescent="0.3">
      <c r="A585" t="s">
        <v>1212</v>
      </c>
      <c r="B585" s="1">
        <v>44774</v>
      </c>
      <c r="C585" t="s">
        <v>1213</v>
      </c>
      <c r="D585" s="3" t="s">
        <v>65</v>
      </c>
      <c r="E585" s="2">
        <v>39138</v>
      </c>
      <c r="F585" s="2">
        <v>6.7</v>
      </c>
      <c r="G585" s="4">
        <v>36</v>
      </c>
      <c r="H585" t="s">
        <v>19</v>
      </c>
      <c r="I585" t="s">
        <v>27</v>
      </c>
      <c r="J585" t="s">
        <v>21</v>
      </c>
      <c r="K585" s="2">
        <v>78920</v>
      </c>
      <c r="L585" t="s">
        <v>33</v>
      </c>
      <c r="M585" s="2">
        <v>0.21</v>
      </c>
      <c r="N585" s="2">
        <v>0.57999999999999996</v>
      </c>
      <c r="O585" s="2">
        <v>41760.25</v>
      </c>
      <c r="P585" s="2">
        <v>0</v>
      </c>
      <c r="Q585">
        <f t="shared" si="36"/>
        <v>67479.310344827594</v>
      </c>
      <c r="R585">
        <f t="shared" ca="1" si="37"/>
        <v>43</v>
      </c>
      <c r="S585" s="2">
        <f t="shared" si="38"/>
        <v>2622.25</v>
      </c>
      <c r="T585" s="18">
        <v>0.1</v>
      </c>
      <c r="U585">
        <f t="shared" si="39"/>
        <v>2884.4750000000004</v>
      </c>
    </row>
    <row r="586" spans="1:21" x14ac:dyDescent="0.3">
      <c r="A586" t="s">
        <v>1214</v>
      </c>
      <c r="B586" s="1">
        <v>44271</v>
      </c>
      <c r="C586" t="s">
        <v>1215</v>
      </c>
      <c r="D586" s="3" t="s">
        <v>53</v>
      </c>
      <c r="E586" s="2">
        <v>1125</v>
      </c>
      <c r="F586" s="2">
        <v>13</v>
      </c>
      <c r="G586" s="4">
        <v>36</v>
      </c>
      <c r="H586" t="s">
        <v>19</v>
      </c>
      <c r="I586" t="s">
        <v>73</v>
      </c>
      <c r="J586" t="s">
        <v>47</v>
      </c>
      <c r="K586" s="2">
        <v>139388</v>
      </c>
      <c r="L586" t="s">
        <v>29</v>
      </c>
      <c r="M586" s="2">
        <v>0.37</v>
      </c>
      <c r="N586" s="2">
        <v>0.62</v>
      </c>
      <c r="O586" s="2">
        <v>1271.25</v>
      </c>
      <c r="P586" s="2">
        <v>0</v>
      </c>
      <c r="Q586">
        <f t="shared" si="36"/>
        <v>1814.516129032258</v>
      </c>
      <c r="R586">
        <f t="shared" ca="1" si="37"/>
        <v>60</v>
      </c>
      <c r="S586" s="2">
        <f t="shared" si="38"/>
        <v>146.25</v>
      </c>
      <c r="T586" s="18">
        <v>0.1</v>
      </c>
      <c r="U586">
        <f t="shared" si="39"/>
        <v>160.875</v>
      </c>
    </row>
    <row r="587" spans="1:21" x14ac:dyDescent="0.3">
      <c r="A587" t="s">
        <v>1216</v>
      </c>
      <c r="B587" s="1">
        <v>44631</v>
      </c>
      <c r="C587" t="s">
        <v>1217</v>
      </c>
      <c r="D587" s="3" t="s">
        <v>56</v>
      </c>
      <c r="E587" s="2">
        <v>24857</v>
      </c>
      <c r="F587" s="2">
        <v>23.2</v>
      </c>
      <c r="G587" s="4">
        <v>60</v>
      </c>
      <c r="H587" t="s">
        <v>26</v>
      </c>
      <c r="I587" t="s">
        <v>27</v>
      </c>
      <c r="J587" t="s">
        <v>32</v>
      </c>
      <c r="K587" s="2">
        <v>97231</v>
      </c>
      <c r="L587" t="s">
        <v>29</v>
      </c>
      <c r="M587" s="2">
        <v>0.17</v>
      </c>
      <c r="N587" s="2">
        <v>0.55000000000000004</v>
      </c>
      <c r="O587" s="2">
        <v>7569.96</v>
      </c>
      <c r="P587" s="2">
        <v>0</v>
      </c>
      <c r="Q587">
        <f t="shared" si="36"/>
        <v>45194.545454545449</v>
      </c>
      <c r="R587">
        <f t="shared" ca="1" si="37"/>
        <v>48</v>
      </c>
      <c r="S587" s="2">
        <f t="shared" si="38"/>
        <v>-17287.04</v>
      </c>
      <c r="T587" s="18">
        <v>0.1</v>
      </c>
      <c r="U587">
        <f t="shared" si="39"/>
        <v>-19015.744000000002</v>
      </c>
    </row>
    <row r="588" spans="1:21" x14ac:dyDescent="0.3">
      <c r="A588" t="s">
        <v>1218</v>
      </c>
      <c r="B588" s="1">
        <v>44299</v>
      </c>
      <c r="C588" t="s">
        <v>1219</v>
      </c>
      <c r="D588" s="3" t="s">
        <v>65</v>
      </c>
      <c r="E588" s="2">
        <v>16398</v>
      </c>
      <c r="F588" s="2">
        <v>21.2</v>
      </c>
      <c r="G588" s="4">
        <v>36</v>
      </c>
      <c r="H588" t="s">
        <v>26</v>
      </c>
      <c r="I588" t="s">
        <v>20</v>
      </c>
      <c r="J588" t="s">
        <v>21</v>
      </c>
      <c r="K588" s="2">
        <v>147946</v>
      </c>
      <c r="L588" t="s">
        <v>22</v>
      </c>
      <c r="M588" s="2">
        <v>0.12</v>
      </c>
      <c r="N588" s="2">
        <v>0.6</v>
      </c>
      <c r="O588" s="2">
        <v>1868.19</v>
      </c>
      <c r="P588" s="2">
        <v>0</v>
      </c>
      <c r="Q588">
        <f t="shared" si="36"/>
        <v>27330</v>
      </c>
      <c r="R588">
        <f t="shared" ca="1" si="37"/>
        <v>59</v>
      </c>
      <c r="S588" s="2">
        <f t="shared" si="38"/>
        <v>-14529.81</v>
      </c>
      <c r="T588" s="18">
        <v>0.1</v>
      </c>
      <c r="U588">
        <f t="shared" si="39"/>
        <v>-15982.791000000001</v>
      </c>
    </row>
    <row r="589" spans="1:21" x14ac:dyDescent="0.3">
      <c r="A589" t="s">
        <v>1220</v>
      </c>
      <c r="B589" s="1">
        <v>44960</v>
      </c>
      <c r="C589" t="s">
        <v>1221</v>
      </c>
      <c r="D589" s="3" t="s">
        <v>53</v>
      </c>
      <c r="E589" s="2">
        <v>7638</v>
      </c>
      <c r="F589" s="2">
        <v>9.3000000000000007</v>
      </c>
      <c r="G589" s="4">
        <v>60</v>
      </c>
      <c r="H589" t="s">
        <v>81</v>
      </c>
      <c r="I589" t="s">
        <v>36</v>
      </c>
      <c r="J589" t="s">
        <v>28</v>
      </c>
      <c r="K589" s="2">
        <v>110357</v>
      </c>
      <c r="L589" t="s">
        <v>29</v>
      </c>
      <c r="M589" s="2">
        <v>0.23</v>
      </c>
      <c r="N589" s="2">
        <v>0.55000000000000004</v>
      </c>
      <c r="O589" s="2">
        <v>2378.77</v>
      </c>
      <c r="P589" s="2">
        <v>1767.84</v>
      </c>
      <c r="Q589">
        <f t="shared" si="36"/>
        <v>13887.272727272726</v>
      </c>
      <c r="R589">
        <f t="shared" ca="1" si="37"/>
        <v>37</v>
      </c>
      <c r="S589" s="2">
        <f t="shared" si="38"/>
        <v>-3491.3900000000003</v>
      </c>
      <c r="T589" s="18">
        <v>0.1</v>
      </c>
      <c r="U589">
        <f t="shared" si="39"/>
        <v>-3840.5290000000005</v>
      </c>
    </row>
    <row r="590" spans="1:21" x14ac:dyDescent="0.3">
      <c r="A590" t="s">
        <v>1222</v>
      </c>
      <c r="B590" s="1">
        <v>44934</v>
      </c>
      <c r="C590" t="s">
        <v>1223</v>
      </c>
      <c r="D590" s="3" t="s">
        <v>50</v>
      </c>
      <c r="E590" s="2">
        <v>7570</v>
      </c>
      <c r="F590" s="2">
        <v>14.3</v>
      </c>
      <c r="G590" s="4">
        <v>60</v>
      </c>
      <c r="H590" t="s">
        <v>19</v>
      </c>
      <c r="I590" t="s">
        <v>20</v>
      </c>
      <c r="J590" t="s">
        <v>21</v>
      </c>
      <c r="K590" s="2">
        <v>33262</v>
      </c>
      <c r="L590" t="s">
        <v>33</v>
      </c>
      <c r="M590" s="2">
        <v>0.41</v>
      </c>
      <c r="N590" s="2">
        <v>0.87</v>
      </c>
      <c r="O590" s="2">
        <v>8652.51</v>
      </c>
      <c r="P590" s="2">
        <v>0</v>
      </c>
      <c r="Q590">
        <f t="shared" si="36"/>
        <v>8701.1494252873563</v>
      </c>
      <c r="R590">
        <f t="shared" ca="1" si="37"/>
        <v>38</v>
      </c>
      <c r="S590" s="2">
        <f t="shared" si="38"/>
        <v>1082.5100000000002</v>
      </c>
      <c r="T590" s="18">
        <v>0.1</v>
      </c>
      <c r="U590">
        <f t="shared" si="39"/>
        <v>1190.7610000000004</v>
      </c>
    </row>
    <row r="591" spans="1:21" x14ac:dyDescent="0.3">
      <c r="A591" t="s">
        <v>1224</v>
      </c>
      <c r="B591" s="1">
        <v>45002</v>
      </c>
      <c r="C591" t="s">
        <v>1225</v>
      </c>
      <c r="D591" s="3" t="s">
        <v>46</v>
      </c>
      <c r="E591" s="2">
        <v>4249</v>
      </c>
      <c r="F591" s="2">
        <v>21.3</v>
      </c>
      <c r="G591" s="4">
        <v>36</v>
      </c>
      <c r="H591" t="s">
        <v>81</v>
      </c>
      <c r="I591" t="s">
        <v>57</v>
      </c>
      <c r="J591" t="s">
        <v>32</v>
      </c>
      <c r="K591" s="2">
        <v>96981</v>
      </c>
      <c r="L591" t="s">
        <v>33</v>
      </c>
      <c r="M591" s="2">
        <v>0.27</v>
      </c>
      <c r="N591" s="2">
        <v>0.56000000000000005</v>
      </c>
      <c r="O591" s="2">
        <v>1578.6</v>
      </c>
      <c r="P591" s="2">
        <v>1006.52</v>
      </c>
      <c r="Q591">
        <f t="shared" si="36"/>
        <v>7587.4999999999991</v>
      </c>
      <c r="R591">
        <f t="shared" ca="1" si="37"/>
        <v>36</v>
      </c>
      <c r="S591" s="2">
        <f t="shared" si="38"/>
        <v>-1663.88</v>
      </c>
      <c r="T591" s="18">
        <v>0.1</v>
      </c>
      <c r="U591">
        <f t="shared" si="39"/>
        <v>-1830.2680000000003</v>
      </c>
    </row>
    <row r="592" spans="1:21" x14ac:dyDescent="0.3">
      <c r="A592" t="s">
        <v>1226</v>
      </c>
      <c r="B592" s="1">
        <v>44294</v>
      </c>
      <c r="C592" t="s">
        <v>1227</v>
      </c>
      <c r="D592" s="3" t="s">
        <v>76</v>
      </c>
      <c r="E592" s="2">
        <v>10110</v>
      </c>
      <c r="F592" s="2">
        <v>6.3</v>
      </c>
      <c r="G592" s="4">
        <v>60</v>
      </c>
      <c r="H592" t="s">
        <v>19</v>
      </c>
      <c r="I592" t="s">
        <v>27</v>
      </c>
      <c r="J592" t="s">
        <v>28</v>
      </c>
      <c r="K592" s="2">
        <v>111972</v>
      </c>
      <c r="L592" t="s">
        <v>22</v>
      </c>
      <c r="M592" s="2">
        <v>0.36</v>
      </c>
      <c r="N592" s="2">
        <v>0.84</v>
      </c>
      <c r="O592" s="2">
        <v>10746.93</v>
      </c>
      <c r="P592" s="2">
        <v>0</v>
      </c>
      <c r="Q592">
        <f t="shared" si="36"/>
        <v>12035.714285714286</v>
      </c>
      <c r="R592">
        <f t="shared" ca="1" si="37"/>
        <v>59</v>
      </c>
      <c r="S592" s="2">
        <f t="shared" si="38"/>
        <v>636.93000000000029</v>
      </c>
      <c r="T592" s="18">
        <v>0.1</v>
      </c>
      <c r="U592">
        <f t="shared" si="39"/>
        <v>700.62300000000039</v>
      </c>
    </row>
    <row r="593" spans="1:21" x14ac:dyDescent="0.3">
      <c r="A593" t="s">
        <v>1228</v>
      </c>
      <c r="B593" s="1">
        <v>44994</v>
      </c>
      <c r="C593" t="s">
        <v>1229</v>
      </c>
      <c r="D593" s="3" t="s">
        <v>50</v>
      </c>
      <c r="E593" s="2">
        <v>14605</v>
      </c>
      <c r="F593" s="2">
        <v>12.7</v>
      </c>
      <c r="G593" s="4">
        <v>36</v>
      </c>
      <c r="H593" t="s">
        <v>19</v>
      </c>
      <c r="I593" t="s">
        <v>57</v>
      </c>
      <c r="J593" t="s">
        <v>28</v>
      </c>
      <c r="K593" s="2">
        <v>105485</v>
      </c>
      <c r="L593" t="s">
        <v>22</v>
      </c>
      <c r="M593" s="2">
        <v>0.33</v>
      </c>
      <c r="N593" s="2">
        <v>0.52</v>
      </c>
      <c r="O593" s="2">
        <v>16459.84</v>
      </c>
      <c r="P593" s="2">
        <v>0</v>
      </c>
      <c r="Q593">
        <f t="shared" si="36"/>
        <v>28086.538461538461</v>
      </c>
      <c r="R593">
        <f t="shared" ca="1" si="37"/>
        <v>36</v>
      </c>
      <c r="S593" s="2">
        <f t="shared" si="38"/>
        <v>1854.8400000000001</v>
      </c>
      <c r="T593" s="18">
        <v>0.1</v>
      </c>
      <c r="U593">
        <f t="shared" si="39"/>
        <v>2040.3240000000003</v>
      </c>
    </row>
    <row r="594" spans="1:21" x14ac:dyDescent="0.3">
      <c r="A594" t="s">
        <v>1230</v>
      </c>
      <c r="B594" s="1">
        <v>45055</v>
      </c>
      <c r="C594" t="s">
        <v>1231</v>
      </c>
      <c r="D594" s="3" t="s">
        <v>53</v>
      </c>
      <c r="E594" s="2">
        <v>13115</v>
      </c>
      <c r="F594" s="2">
        <v>22</v>
      </c>
      <c r="G594" s="4">
        <v>36</v>
      </c>
      <c r="H594" t="s">
        <v>19</v>
      </c>
      <c r="I594" t="s">
        <v>36</v>
      </c>
      <c r="J594" t="s">
        <v>47</v>
      </c>
      <c r="K594" s="2">
        <v>84722</v>
      </c>
      <c r="L594" t="s">
        <v>33</v>
      </c>
      <c r="M594" s="2">
        <v>0.11</v>
      </c>
      <c r="N594" s="2">
        <v>0.93</v>
      </c>
      <c r="O594" s="2">
        <v>16000.3</v>
      </c>
      <c r="P594" s="2">
        <v>0</v>
      </c>
      <c r="Q594">
        <f t="shared" si="36"/>
        <v>14102.150537634408</v>
      </c>
      <c r="R594">
        <f t="shared" ca="1" si="37"/>
        <v>34</v>
      </c>
      <c r="S594" s="2">
        <f t="shared" si="38"/>
        <v>2885.2999999999993</v>
      </c>
      <c r="T594" s="18">
        <v>0.1</v>
      </c>
      <c r="U594">
        <f t="shared" si="39"/>
        <v>3173.8299999999995</v>
      </c>
    </row>
    <row r="595" spans="1:21" x14ac:dyDescent="0.3">
      <c r="A595" t="s">
        <v>1232</v>
      </c>
      <c r="B595" s="1">
        <v>44631</v>
      </c>
      <c r="C595" t="s">
        <v>1233</v>
      </c>
      <c r="D595" s="3" t="s">
        <v>18</v>
      </c>
      <c r="E595" s="2">
        <v>23911</v>
      </c>
      <c r="F595" s="2">
        <v>13.1</v>
      </c>
      <c r="G595" s="4">
        <v>60</v>
      </c>
      <c r="H595" t="s">
        <v>26</v>
      </c>
      <c r="I595" t="s">
        <v>73</v>
      </c>
      <c r="J595" t="s">
        <v>37</v>
      </c>
      <c r="K595" s="2">
        <v>119499</v>
      </c>
      <c r="L595" t="s">
        <v>29</v>
      </c>
      <c r="M595" s="2">
        <v>0.5</v>
      </c>
      <c r="N595" s="2">
        <v>0.82</v>
      </c>
      <c r="O595" s="2">
        <v>5871.91</v>
      </c>
      <c r="P595" s="2">
        <v>0</v>
      </c>
      <c r="Q595">
        <f t="shared" si="36"/>
        <v>29159.756097560978</v>
      </c>
      <c r="R595">
        <f t="shared" ca="1" si="37"/>
        <v>48</v>
      </c>
      <c r="S595" s="2">
        <f t="shared" si="38"/>
        <v>-18039.09</v>
      </c>
      <c r="T595" s="18">
        <v>0.1</v>
      </c>
      <c r="U595">
        <f t="shared" si="39"/>
        <v>-19842.999000000003</v>
      </c>
    </row>
    <row r="596" spans="1:21" x14ac:dyDescent="0.3">
      <c r="A596" t="s">
        <v>1234</v>
      </c>
      <c r="B596" s="1">
        <v>44643</v>
      </c>
      <c r="C596" t="s">
        <v>1235</v>
      </c>
      <c r="D596" s="3" t="s">
        <v>40</v>
      </c>
      <c r="E596" s="2">
        <v>39525</v>
      </c>
      <c r="F596" s="2">
        <v>6.6</v>
      </c>
      <c r="G596" s="4">
        <v>36</v>
      </c>
      <c r="H596" t="s">
        <v>19</v>
      </c>
      <c r="I596" t="s">
        <v>84</v>
      </c>
      <c r="J596" t="s">
        <v>47</v>
      </c>
      <c r="K596" s="2">
        <v>80818</v>
      </c>
      <c r="L596" t="s">
        <v>29</v>
      </c>
      <c r="M596" s="2">
        <v>0.12</v>
      </c>
      <c r="N596" s="2">
        <v>0.5</v>
      </c>
      <c r="O596" s="2">
        <v>42133.65</v>
      </c>
      <c r="P596" s="2">
        <v>0</v>
      </c>
      <c r="Q596">
        <f t="shared" si="36"/>
        <v>79050</v>
      </c>
      <c r="R596">
        <f t="shared" ca="1" si="37"/>
        <v>47</v>
      </c>
      <c r="S596" s="2">
        <f t="shared" si="38"/>
        <v>2608.6500000000015</v>
      </c>
      <c r="T596" s="18">
        <v>0.1</v>
      </c>
      <c r="U596">
        <f t="shared" si="39"/>
        <v>2869.5150000000017</v>
      </c>
    </row>
    <row r="597" spans="1:21" x14ac:dyDescent="0.3">
      <c r="A597" t="s">
        <v>1236</v>
      </c>
      <c r="B597" s="1">
        <v>44445</v>
      </c>
      <c r="C597" t="s">
        <v>1237</v>
      </c>
      <c r="D597" s="3" t="s">
        <v>76</v>
      </c>
      <c r="E597" s="2">
        <v>33556</v>
      </c>
      <c r="F597" s="2">
        <v>15.9</v>
      </c>
      <c r="G597" s="4">
        <v>60</v>
      </c>
      <c r="H597" t="s">
        <v>81</v>
      </c>
      <c r="I597" t="s">
        <v>84</v>
      </c>
      <c r="J597" t="s">
        <v>37</v>
      </c>
      <c r="K597" s="2">
        <v>59932</v>
      </c>
      <c r="L597" t="s">
        <v>22</v>
      </c>
      <c r="M597" s="2">
        <v>0.49</v>
      </c>
      <c r="N597" s="2">
        <v>0.84</v>
      </c>
      <c r="O597" s="2">
        <v>8269.1299999999992</v>
      </c>
      <c r="P597" s="2">
        <v>9226.86</v>
      </c>
      <c r="Q597">
        <f t="shared" si="36"/>
        <v>39947.619047619046</v>
      </c>
      <c r="R597">
        <f t="shared" ca="1" si="37"/>
        <v>54</v>
      </c>
      <c r="S597" s="2">
        <f t="shared" si="38"/>
        <v>-16060.010000000002</v>
      </c>
      <c r="T597" s="18">
        <v>0.1</v>
      </c>
      <c r="U597">
        <f t="shared" si="39"/>
        <v>-17666.011000000002</v>
      </c>
    </row>
    <row r="598" spans="1:21" x14ac:dyDescent="0.3">
      <c r="A598" t="s">
        <v>1238</v>
      </c>
      <c r="B598" s="1">
        <v>44362</v>
      </c>
      <c r="C598" t="s">
        <v>1239</v>
      </c>
      <c r="D598" s="3" t="s">
        <v>18</v>
      </c>
      <c r="E598" s="2">
        <v>13595</v>
      </c>
      <c r="F598" s="2">
        <v>22.2</v>
      </c>
      <c r="G598" s="4">
        <v>36</v>
      </c>
      <c r="H598" t="s">
        <v>81</v>
      </c>
      <c r="I598" t="s">
        <v>41</v>
      </c>
      <c r="J598" t="s">
        <v>47</v>
      </c>
      <c r="K598" s="2">
        <v>36901</v>
      </c>
      <c r="L598" t="s">
        <v>22</v>
      </c>
      <c r="M598" s="2">
        <v>0.32</v>
      </c>
      <c r="N598" s="2">
        <v>0.73</v>
      </c>
      <c r="O598" s="2">
        <v>5141.99</v>
      </c>
      <c r="P598" s="2">
        <v>2205.12</v>
      </c>
      <c r="Q598">
        <f t="shared" si="36"/>
        <v>18623.287671232876</v>
      </c>
      <c r="R598">
        <f t="shared" ca="1" si="37"/>
        <v>57</v>
      </c>
      <c r="S598" s="2">
        <f t="shared" si="38"/>
        <v>-6247.89</v>
      </c>
      <c r="T598" s="18">
        <v>0.1</v>
      </c>
      <c r="U598">
        <f t="shared" si="39"/>
        <v>-6872.679000000001</v>
      </c>
    </row>
    <row r="599" spans="1:21" x14ac:dyDescent="0.3">
      <c r="A599" t="s">
        <v>1240</v>
      </c>
      <c r="B599" s="1">
        <v>45180</v>
      </c>
      <c r="C599" t="s">
        <v>1241</v>
      </c>
      <c r="D599" s="3" t="s">
        <v>56</v>
      </c>
      <c r="E599" s="2">
        <v>2969</v>
      </c>
      <c r="F599" s="2">
        <v>16.8</v>
      </c>
      <c r="G599" s="4">
        <v>36</v>
      </c>
      <c r="H599" t="s">
        <v>81</v>
      </c>
      <c r="I599" t="s">
        <v>36</v>
      </c>
      <c r="J599" t="s">
        <v>37</v>
      </c>
      <c r="K599" s="2">
        <v>147473</v>
      </c>
      <c r="L599" t="s">
        <v>33</v>
      </c>
      <c r="M599" s="2">
        <v>0.49</v>
      </c>
      <c r="N599" s="2">
        <v>0.85</v>
      </c>
      <c r="O599" s="2">
        <v>760.95</v>
      </c>
      <c r="P599" s="2">
        <v>303.63</v>
      </c>
      <c r="Q599">
        <f t="shared" si="36"/>
        <v>3492.9411764705883</v>
      </c>
      <c r="R599">
        <f t="shared" ca="1" si="37"/>
        <v>30</v>
      </c>
      <c r="S599" s="2">
        <f t="shared" si="38"/>
        <v>-1904.42</v>
      </c>
      <c r="T599" s="18">
        <v>0.1</v>
      </c>
      <c r="U599">
        <f t="shared" si="39"/>
        <v>-2094.8620000000001</v>
      </c>
    </row>
    <row r="600" spans="1:21" x14ac:dyDescent="0.3">
      <c r="A600" t="s">
        <v>1242</v>
      </c>
      <c r="B600" s="1">
        <v>45216</v>
      </c>
      <c r="C600" t="s">
        <v>1243</v>
      </c>
      <c r="D600" s="3" t="s">
        <v>25</v>
      </c>
      <c r="E600" s="2">
        <v>18275</v>
      </c>
      <c r="F600" s="2">
        <v>9.5</v>
      </c>
      <c r="G600" s="4">
        <v>36</v>
      </c>
      <c r="H600" t="s">
        <v>19</v>
      </c>
      <c r="I600" t="s">
        <v>36</v>
      </c>
      <c r="J600" t="s">
        <v>21</v>
      </c>
      <c r="K600" s="2">
        <v>129023</v>
      </c>
      <c r="L600" t="s">
        <v>33</v>
      </c>
      <c r="M600" s="2">
        <v>0.15</v>
      </c>
      <c r="N600" s="2">
        <v>0.74</v>
      </c>
      <c r="O600" s="2">
        <v>20011.12</v>
      </c>
      <c r="P600" s="2">
        <v>0</v>
      </c>
      <c r="Q600">
        <f t="shared" si="36"/>
        <v>24695.945945945947</v>
      </c>
      <c r="R600">
        <f t="shared" ca="1" si="37"/>
        <v>29</v>
      </c>
      <c r="S600" s="2">
        <f t="shared" si="38"/>
        <v>1736.119999999999</v>
      </c>
      <c r="T600" s="18">
        <v>0.1</v>
      </c>
      <c r="U600">
        <f t="shared" si="39"/>
        <v>1909.7319999999991</v>
      </c>
    </row>
    <row r="601" spans="1:21" x14ac:dyDescent="0.3">
      <c r="A601" t="s">
        <v>1244</v>
      </c>
      <c r="B601" s="1">
        <v>44738</v>
      </c>
      <c r="C601" t="s">
        <v>1245</v>
      </c>
      <c r="D601" s="3" t="s">
        <v>72</v>
      </c>
      <c r="E601" s="2">
        <v>5470</v>
      </c>
      <c r="F601" s="2">
        <v>12.7</v>
      </c>
      <c r="G601" s="4">
        <v>60</v>
      </c>
      <c r="H601" t="s">
        <v>81</v>
      </c>
      <c r="I601" t="s">
        <v>27</v>
      </c>
      <c r="J601" t="s">
        <v>28</v>
      </c>
      <c r="K601" s="2">
        <v>38597</v>
      </c>
      <c r="L601" t="s">
        <v>22</v>
      </c>
      <c r="M601" s="2">
        <v>0.3</v>
      </c>
      <c r="N601" s="2">
        <v>0.79</v>
      </c>
      <c r="O601" s="2">
        <v>1347.15</v>
      </c>
      <c r="P601" s="2">
        <v>2258.6</v>
      </c>
      <c r="Q601">
        <f t="shared" si="36"/>
        <v>6924.0506329113923</v>
      </c>
      <c r="R601">
        <f t="shared" ca="1" si="37"/>
        <v>44</v>
      </c>
      <c r="S601" s="2">
        <f t="shared" si="38"/>
        <v>-1864.25</v>
      </c>
      <c r="T601" s="18">
        <v>0.1</v>
      </c>
      <c r="U601">
        <f t="shared" si="39"/>
        <v>-2050.6750000000002</v>
      </c>
    </row>
    <row r="602" spans="1:21" x14ac:dyDescent="0.3">
      <c r="A602" t="s">
        <v>1246</v>
      </c>
      <c r="B602" s="1">
        <v>44955</v>
      </c>
      <c r="C602" t="s">
        <v>1247</v>
      </c>
      <c r="D602" s="3" t="s">
        <v>76</v>
      </c>
      <c r="E602" s="2">
        <v>11225</v>
      </c>
      <c r="F602" s="2">
        <v>14</v>
      </c>
      <c r="G602" s="4">
        <v>36</v>
      </c>
      <c r="H602" t="s">
        <v>26</v>
      </c>
      <c r="I602" t="s">
        <v>57</v>
      </c>
      <c r="J602" t="s">
        <v>37</v>
      </c>
      <c r="K602" s="2">
        <v>93909</v>
      </c>
      <c r="L602" t="s">
        <v>33</v>
      </c>
      <c r="M602" s="2">
        <v>0.17</v>
      </c>
      <c r="N602" s="2">
        <v>0.85</v>
      </c>
      <c r="O602" s="2">
        <v>3482.53</v>
      </c>
      <c r="P602" s="2">
        <v>0</v>
      </c>
      <c r="Q602">
        <f t="shared" si="36"/>
        <v>13205.882352941177</v>
      </c>
      <c r="R602">
        <f t="shared" ca="1" si="37"/>
        <v>37</v>
      </c>
      <c r="S602" s="2">
        <f t="shared" si="38"/>
        <v>-7742.4699999999993</v>
      </c>
      <c r="T602" s="18">
        <v>0.1</v>
      </c>
      <c r="U602">
        <f t="shared" si="39"/>
        <v>-8516.7170000000006</v>
      </c>
    </row>
    <row r="603" spans="1:21" x14ac:dyDescent="0.3">
      <c r="A603" t="s">
        <v>1248</v>
      </c>
      <c r="B603" s="1">
        <v>44277</v>
      </c>
      <c r="C603" t="s">
        <v>1249</v>
      </c>
      <c r="D603" s="3" t="s">
        <v>50</v>
      </c>
      <c r="E603" s="2">
        <v>24196</v>
      </c>
      <c r="F603" s="2">
        <v>16.600000000000001</v>
      </c>
      <c r="G603" s="4">
        <v>60</v>
      </c>
      <c r="H603" t="s">
        <v>19</v>
      </c>
      <c r="I603" t="s">
        <v>20</v>
      </c>
      <c r="J603" t="s">
        <v>21</v>
      </c>
      <c r="K603" s="2">
        <v>102391</v>
      </c>
      <c r="L603" t="s">
        <v>22</v>
      </c>
      <c r="M603" s="2">
        <v>0.12</v>
      </c>
      <c r="N603" s="2">
        <v>0.68</v>
      </c>
      <c r="O603" s="2">
        <v>28212.54</v>
      </c>
      <c r="P603" s="2">
        <v>0</v>
      </c>
      <c r="Q603">
        <f t="shared" si="36"/>
        <v>35582.352941176468</v>
      </c>
      <c r="R603">
        <f t="shared" ca="1" si="37"/>
        <v>59</v>
      </c>
      <c r="S603" s="2">
        <f t="shared" si="38"/>
        <v>4016.5400000000009</v>
      </c>
      <c r="T603" s="18">
        <v>0.1</v>
      </c>
      <c r="U603">
        <f t="shared" si="39"/>
        <v>4418.1940000000013</v>
      </c>
    </row>
    <row r="604" spans="1:21" x14ac:dyDescent="0.3">
      <c r="A604" t="s">
        <v>1250</v>
      </c>
      <c r="B604" s="1">
        <v>44329</v>
      </c>
      <c r="C604" t="s">
        <v>1251</v>
      </c>
      <c r="D604" s="3" t="s">
        <v>40</v>
      </c>
      <c r="E604" s="2">
        <v>14669</v>
      </c>
      <c r="F604" s="2">
        <v>20.2</v>
      </c>
      <c r="G604" s="4">
        <v>36</v>
      </c>
      <c r="H604" t="s">
        <v>19</v>
      </c>
      <c r="I604" t="s">
        <v>27</v>
      </c>
      <c r="J604" t="s">
        <v>32</v>
      </c>
      <c r="K604" s="2">
        <v>114214</v>
      </c>
      <c r="L604" t="s">
        <v>22</v>
      </c>
      <c r="M604" s="2">
        <v>0.35</v>
      </c>
      <c r="N604" s="2">
        <v>0.5</v>
      </c>
      <c r="O604" s="2">
        <v>17632.14</v>
      </c>
      <c r="P604" s="2">
        <v>0</v>
      </c>
      <c r="Q604">
        <f t="shared" si="36"/>
        <v>29338</v>
      </c>
      <c r="R604">
        <f t="shared" ca="1" si="37"/>
        <v>58</v>
      </c>
      <c r="S604" s="2">
        <f t="shared" si="38"/>
        <v>2963.1399999999994</v>
      </c>
      <c r="T604" s="18">
        <v>0.1</v>
      </c>
      <c r="U604">
        <f t="shared" si="39"/>
        <v>3259.4539999999997</v>
      </c>
    </row>
    <row r="605" spans="1:21" x14ac:dyDescent="0.3">
      <c r="A605" t="s">
        <v>1252</v>
      </c>
      <c r="B605" s="1">
        <v>44993</v>
      </c>
      <c r="C605" t="s">
        <v>1253</v>
      </c>
      <c r="D605" s="3" t="s">
        <v>18</v>
      </c>
      <c r="E605" s="2">
        <v>38380</v>
      </c>
      <c r="F605" s="2">
        <v>7</v>
      </c>
      <c r="G605" s="4">
        <v>36</v>
      </c>
      <c r="H605" t="s">
        <v>19</v>
      </c>
      <c r="I605" t="s">
        <v>41</v>
      </c>
      <c r="J605" t="s">
        <v>47</v>
      </c>
      <c r="K605" s="2">
        <v>38263</v>
      </c>
      <c r="L605" t="s">
        <v>29</v>
      </c>
      <c r="M605" s="2">
        <v>0.18</v>
      </c>
      <c r="N605" s="2">
        <v>0.88</v>
      </c>
      <c r="O605" s="2">
        <v>41066.6</v>
      </c>
      <c r="P605" s="2">
        <v>0</v>
      </c>
      <c r="Q605">
        <f t="shared" si="36"/>
        <v>43613.63636363636</v>
      </c>
      <c r="R605">
        <f t="shared" ca="1" si="37"/>
        <v>36</v>
      </c>
      <c r="S605" s="2">
        <f t="shared" si="38"/>
        <v>2686.5999999999985</v>
      </c>
      <c r="T605" s="18">
        <v>0.1</v>
      </c>
      <c r="U605">
        <f t="shared" si="39"/>
        <v>2955.2599999999989</v>
      </c>
    </row>
    <row r="606" spans="1:21" x14ac:dyDescent="0.3">
      <c r="A606" t="s">
        <v>1254</v>
      </c>
      <c r="B606" s="1">
        <v>45096</v>
      </c>
      <c r="C606" t="s">
        <v>1255</v>
      </c>
      <c r="D606" s="3" t="s">
        <v>53</v>
      </c>
      <c r="E606" s="2">
        <v>39006</v>
      </c>
      <c r="F606" s="2">
        <v>22.8</v>
      </c>
      <c r="G606" s="4">
        <v>60</v>
      </c>
      <c r="H606" t="s">
        <v>19</v>
      </c>
      <c r="I606" t="s">
        <v>27</v>
      </c>
      <c r="J606" t="s">
        <v>32</v>
      </c>
      <c r="K606" s="2">
        <v>93293</v>
      </c>
      <c r="L606" t="s">
        <v>22</v>
      </c>
      <c r="M606" s="2">
        <v>0.34</v>
      </c>
      <c r="N606" s="2">
        <v>0.67</v>
      </c>
      <c r="O606" s="2">
        <v>47899.37</v>
      </c>
      <c r="P606" s="2">
        <v>0</v>
      </c>
      <c r="Q606">
        <f t="shared" si="36"/>
        <v>58217.910447761191</v>
      </c>
      <c r="R606">
        <f t="shared" ca="1" si="37"/>
        <v>33</v>
      </c>
      <c r="S606" s="2">
        <f t="shared" si="38"/>
        <v>8893.3700000000026</v>
      </c>
      <c r="T606" s="18">
        <v>0.1</v>
      </c>
      <c r="U606">
        <f t="shared" si="39"/>
        <v>9782.707000000004</v>
      </c>
    </row>
    <row r="607" spans="1:21" x14ac:dyDescent="0.3">
      <c r="A607" t="s">
        <v>1256</v>
      </c>
      <c r="B607" s="1">
        <v>44334</v>
      </c>
      <c r="C607" t="s">
        <v>1257</v>
      </c>
      <c r="D607" s="3" t="s">
        <v>76</v>
      </c>
      <c r="E607" s="2">
        <v>16577</v>
      </c>
      <c r="F607" s="2">
        <v>5.2</v>
      </c>
      <c r="G607" s="4">
        <v>60</v>
      </c>
      <c r="H607" t="s">
        <v>19</v>
      </c>
      <c r="I607" t="s">
        <v>36</v>
      </c>
      <c r="J607" t="s">
        <v>21</v>
      </c>
      <c r="K607" s="2">
        <v>142824</v>
      </c>
      <c r="L607" t="s">
        <v>33</v>
      </c>
      <c r="M607" s="2">
        <v>0.14000000000000001</v>
      </c>
      <c r="N607" s="2">
        <v>0.72</v>
      </c>
      <c r="O607" s="2">
        <v>17439</v>
      </c>
      <c r="P607" s="2">
        <v>0</v>
      </c>
      <c r="Q607">
        <f t="shared" si="36"/>
        <v>23023.611111111113</v>
      </c>
      <c r="R607">
        <f t="shared" ca="1" si="37"/>
        <v>58</v>
      </c>
      <c r="S607" s="2">
        <f t="shared" si="38"/>
        <v>862</v>
      </c>
      <c r="T607" s="18">
        <v>0.1</v>
      </c>
      <c r="U607">
        <f t="shared" si="39"/>
        <v>948.2</v>
      </c>
    </row>
    <row r="608" spans="1:21" x14ac:dyDescent="0.3">
      <c r="A608" t="s">
        <v>1258</v>
      </c>
      <c r="B608" s="1">
        <v>44380</v>
      </c>
      <c r="C608" t="s">
        <v>1259</v>
      </c>
      <c r="D608" s="3" t="s">
        <v>25</v>
      </c>
      <c r="E608" s="2">
        <v>23473</v>
      </c>
      <c r="F608" s="2">
        <v>12.4</v>
      </c>
      <c r="G608" s="4">
        <v>60</v>
      </c>
      <c r="H608" t="s">
        <v>60</v>
      </c>
      <c r="I608" t="s">
        <v>84</v>
      </c>
      <c r="J608" t="s">
        <v>32</v>
      </c>
      <c r="K608" s="2">
        <v>55805</v>
      </c>
      <c r="L608" t="s">
        <v>29</v>
      </c>
      <c r="M608" s="2">
        <v>0.23</v>
      </c>
      <c r="N608" s="2">
        <v>0.5</v>
      </c>
      <c r="O608" s="2">
        <v>0</v>
      </c>
      <c r="P608" s="2">
        <v>0</v>
      </c>
      <c r="Q608">
        <f t="shared" si="36"/>
        <v>46946</v>
      </c>
      <c r="R608">
        <f t="shared" ca="1" si="37"/>
        <v>56</v>
      </c>
      <c r="S608" s="2">
        <f t="shared" si="38"/>
        <v>-23473</v>
      </c>
      <c r="T608" s="18">
        <v>0.1</v>
      </c>
      <c r="U608">
        <f t="shared" si="39"/>
        <v>-25820.300000000003</v>
      </c>
    </row>
    <row r="609" spans="1:21" x14ac:dyDescent="0.3">
      <c r="A609" t="s">
        <v>1260</v>
      </c>
      <c r="B609" s="1">
        <v>44981</v>
      </c>
      <c r="C609" t="s">
        <v>1261</v>
      </c>
      <c r="D609" s="3" t="s">
        <v>53</v>
      </c>
      <c r="E609" s="2">
        <v>29625</v>
      </c>
      <c r="F609" s="2">
        <v>5.5</v>
      </c>
      <c r="G609" s="4">
        <v>60</v>
      </c>
      <c r="H609" t="s">
        <v>19</v>
      </c>
      <c r="I609" t="s">
        <v>20</v>
      </c>
      <c r="J609" t="s">
        <v>32</v>
      </c>
      <c r="K609" s="2">
        <v>121679</v>
      </c>
      <c r="L609" t="s">
        <v>29</v>
      </c>
      <c r="M609" s="2">
        <v>0.41</v>
      </c>
      <c r="N609" s="2">
        <v>0.72</v>
      </c>
      <c r="O609" s="2">
        <v>31254.37</v>
      </c>
      <c r="P609" s="2">
        <v>0</v>
      </c>
      <c r="Q609">
        <f t="shared" si="36"/>
        <v>41145.833333333336</v>
      </c>
      <c r="R609">
        <f t="shared" ca="1" si="37"/>
        <v>36</v>
      </c>
      <c r="S609" s="2">
        <f t="shared" si="38"/>
        <v>1629.369999999999</v>
      </c>
      <c r="T609" s="18">
        <v>0.1</v>
      </c>
      <c r="U609">
        <f t="shared" si="39"/>
        <v>1792.3069999999991</v>
      </c>
    </row>
    <row r="610" spans="1:21" x14ac:dyDescent="0.3">
      <c r="A610" t="s">
        <v>1262</v>
      </c>
      <c r="B610" s="1">
        <v>45180</v>
      </c>
      <c r="C610" t="s">
        <v>1263</v>
      </c>
      <c r="D610" s="3" t="s">
        <v>18</v>
      </c>
      <c r="E610" s="2">
        <v>16504</v>
      </c>
      <c r="F610" s="2">
        <v>12.9</v>
      </c>
      <c r="G610" s="4">
        <v>60</v>
      </c>
      <c r="H610" t="s">
        <v>19</v>
      </c>
      <c r="I610" t="s">
        <v>20</v>
      </c>
      <c r="J610" t="s">
        <v>21</v>
      </c>
      <c r="K610" s="2">
        <v>41874</v>
      </c>
      <c r="L610" t="s">
        <v>33</v>
      </c>
      <c r="M610" s="2">
        <v>0.27</v>
      </c>
      <c r="N610" s="2">
        <v>0.94</v>
      </c>
      <c r="O610" s="2">
        <v>18633.02</v>
      </c>
      <c r="P610" s="2">
        <v>0</v>
      </c>
      <c r="Q610">
        <f t="shared" si="36"/>
        <v>17557.446808510638</v>
      </c>
      <c r="R610">
        <f t="shared" ca="1" si="37"/>
        <v>30</v>
      </c>
      <c r="S610" s="2">
        <f t="shared" si="38"/>
        <v>2129.0200000000004</v>
      </c>
      <c r="T610" s="18">
        <v>0.1</v>
      </c>
      <c r="U610">
        <f t="shared" si="39"/>
        <v>2341.9220000000005</v>
      </c>
    </row>
    <row r="611" spans="1:21" x14ac:dyDescent="0.3">
      <c r="A611" t="s">
        <v>1264</v>
      </c>
      <c r="B611" s="1">
        <v>44265</v>
      </c>
      <c r="C611" t="s">
        <v>1265</v>
      </c>
      <c r="D611" s="3" t="s">
        <v>40</v>
      </c>
      <c r="E611" s="2">
        <v>25089</v>
      </c>
      <c r="F611" s="2">
        <v>15.5</v>
      </c>
      <c r="G611" s="4">
        <v>36</v>
      </c>
      <c r="H611" t="s">
        <v>60</v>
      </c>
      <c r="I611" t="s">
        <v>57</v>
      </c>
      <c r="J611" t="s">
        <v>28</v>
      </c>
      <c r="K611" s="2">
        <v>123065</v>
      </c>
      <c r="L611" t="s">
        <v>33</v>
      </c>
      <c r="M611" s="2">
        <v>0.35</v>
      </c>
      <c r="N611" s="2">
        <v>0.63</v>
      </c>
      <c r="O611" s="2">
        <v>0</v>
      </c>
      <c r="P611" s="2">
        <v>0</v>
      </c>
      <c r="Q611">
        <f t="shared" si="36"/>
        <v>39823.809523809527</v>
      </c>
      <c r="R611">
        <f t="shared" ca="1" si="37"/>
        <v>60</v>
      </c>
      <c r="S611" s="2">
        <f t="shared" si="38"/>
        <v>-25089</v>
      </c>
      <c r="T611" s="18">
        <v>0.1</v>
      </c>
      <c r="U611">
        <f t="shared" si="39"/>
        <v>-27597.9</v>
      </c>
    </row>
    <row r="612" spans="1:21" x14ac:dyDescent="0.3">
      <c r="A612" t="s">
        <v>1266</v>
      </c>
      <c r="B612" s="1">
        <v>44742</v>
      </c>
      <c r="C612" t="s">
        <v>1267</v>
      </c>
      <c r="D612" s="3" t="s">
        <v>65</v>
      </c>
      <c r="E612" s="2">
        <v>37487</v>
      </c>
      <c r="F612" s="2">
        <v>15.2</v>
      </c>
      <c r="G612" s="4">
        <v>36</v>
      </c>
      <c r="H612" t="s">
        <v>19</v>
      </c>
      <c r="I612" t="s">
        <v>20</v>
      </c>
      <c r="J612" t="s">
        <v>37</v>
      </c>
      <c r="K612" s="2">
        <v>116402</v>
      </c>
      <c r="L612" t="s">
        <v>33</v>
      </c>
      <c r="M612" s="2">
        <v>0.36</v>
      </c>
      <c r="N612" s="2">
        <v>0.68</v>
      </c>
      <c r="O612" s="2">
        <v>43185.02</v>
      </c>
      <c r="P612" s="2">
        <v>0</v>
      </c>
      <c r="Q612">
        <f t="shared" si="36"/>
        <v>55127.941176470587</v>
      </c>
      <c r="R612">
        <f t="shared" ca="1" si="37"/>
        <v>44</v>
      </c>
      <c r="S612" s="2">
        <f t="shared" si="38"/>
        <v>5698.0199999999968</v>
      </c>
      <c r="T612" s="18">
        <v>0.1</v>
      </c>
      <c r="U612">
        <f t="shared" si="39"/>
        <v>6267.8219999999974</v>
      </c>
    </row>
    <row r="613" spans="1:21" x14ac:dyDescent="0.3">
      <c r="A613" t="s">
        <v>1268</v>
      </c>
      <c r="B613" s="1">
        <v>44249</v>
      </c>
      <c r="C613" t="s">
        <v>1269</v>
      </c>
      <c r="D613" s="3" t="s">
        <v>25</v>
      </c>
      <c r="E613" s="2">
        <v>1302</v>
      </c>
      <c r="F613" s="2">
        <v>8.3000000000000007</v>
      </c>
      <c r="G613" s="4">
        <v>60</v>
      </c>
      <c r="H613" t="s">
        <v>81</v>
      </c>
      <c r="I613" t="s">
        <v>73</v>
      </c>
      <c r="J613" t="s">
        <v>47</v>
      </c>
      <c r="K613" s="2">
        <v>44079</v>
      </c>
      <c r="L613" t="s">
        <v>22</v>
      </c>
      <c r="M613" s="2">
        <v>0.44</v>
      </c>
      <c r="N613" s="2">
        <v>0.81</v>
      </c>
      <c r="O613" s="2">
        <v>399.41</v>
      </c>
      <c r="P613" s="2">
        <v>452.5</v>
      </c>
      <c r="Q613">
        <f t="shared" si="36"/>
        <v>1607.4074074074074</v>
      </c>
      <c r="R613">
        <f t="shared" ca="1" si="37"/>
        <v>60</v>
      </c>
      <c r="S613" s="2">
        <f t="shared" si="38"/>
        <v>-450.08999999999992</v>
      </c>
      <c r="T613" s="18">
        <v>0.1</v>
      </c>
      <c r="U613">
        <f t="shared" si="39"/>
        <v>-495.09899999999993</v>
      </c>
    </row>
    <row r="614" spans="1:21" x14ac:dyDescent="0.3">
      <c r="A614" t="s">
        <v>1270</v>
      </c>
      <c r="B614" s="1">
        <v>44401</v>
      </c>
      <c r="C614" t="s">
        <v>1271</v>
      </c>
      <c r="D614" s="3" t="s">
        <v>53</v>
      </c>
      <c r="E614" s="2">
        <v>32463</v>
      </c>
      <c r="F614" s="2">
        <v>17.899999999999999</v>
      </c>
      <c r="G614" s="4">
        <v>36</v>
      </c>
      <c r="H614" t="s">
        <v>19</v>
      </c>
      <c r="I614" t="s">
        <v>41</v>
      </c>
      <c r="J614" t="s">
        <v>37</v>
      </c>
      <c r="K614" s="2">
        <v>79850</v>
      </c>
      <c r="L614" t="s">
        <v>29</v>
      </c>
      <c r="M614" s="2">
        <v>0.23</v>
      </c>
      <c r="N614" s="2">
        <v>0.87</v>
      </c>
      <c r="O614" s="2">
        <v>38273.879999999997</v>
      </c>
      <c r="P614" s="2">
        <v>0</v>
      </c>
      <c r="Q614">
        <f t="shared" si="36"/>
        <v>37313.793103448275</v>
      </c>
      <c r="R614">
        <f t="shared" ca="1" si="37"/>
        <v>55</v>
      </c>
      <c r="S614" s="2">
        <f t="shared" si="38"/>
        <v>5810.8799999999974</v>
      </c>
      <c r="T614" s="18">
        <v>0.1</v>
      </c>
      <c r="U614">
        <f t="shared" si="39"/>
        <v>6391.967999999998</v>
      </c>
    </row>
    <row r="615" spans="1:21" x14ac:dyDescent="0.3">
      <c r="A615" t="s">
        <v>1272</v>
      </c>
      <c r="B615" s="1">
        <v>44322</v>
      </c>
      <c r="C615" t="s">
        <v>1273</v>
      </c>
      <c r="D615" s="3" t="s">
        <v>25</v>
      </c>
      <c r="E615" s="2">
        <v>30259</v>
      </c>
      <c r="F615" s="2">
        <v>5.9</v>
      </c>
      <c r="G615" s="4">
        <v>36</v>
      </c>
      <c r="H615" t="s">
        <v>26</v>
      </c>
      <c r="I615" t="s">
        <v>27</v>
      </c>
      <c r="J615" t="s">
        <v>47</v>
      </c>
      <c r="K615" s="2">
        <v>102779</v>
      </c>
      <c r="L615" t="s">
        <v>22</v>
      </c>
      <c r="M615" s="2">
        <v>0.37</v>
      </c>
      <c r="N615" s="2">
        <v>0.69</v>
      </c>
      <c r="O615" s="2">
        <v>2968.33</v>
      </c>
      <c r="P615" s="2">
        <v>0</v>
      </c>
      <c r="Q615">
        <f t="shared" si="36"/>
        <v>43853.6231884058</v>
      </c>
      <c r="R615">
        <f t="shared" ca="1" si="37"/>
        <v>58</v>
      </c>
      <c r="S615" s="2">
        <f t="shared" si="38"/>
        <v>-27290.67</v>
      </c>
      <c r="T615" s="18">
        <v>0.1</v>
      </c>
      <c r="U615">
        <f t="shared" si="39"/>
        <v>-30019.737000000001</v>
      </c>
    </row>
    <row r="616" spans="1:21" x14ac:dyDescent="0.3">
      <c r="A616" t="s">
        <v>1274</v>
      </c>
      <c r="B616" s="1">
        <v>44239</v>
      </c>
      <c r="C616" t="s">
        <v>1275</v>
      </c>
      <c r="D616" s="3" t="s">
        <v>56</v>
      </c>
      <c r="E616" s="2">
        <v>38208</v>
      </c>
      <c r="F616" s="2">
        <v>20.2</v>
      </c>
      <c r="G616" s="4">
        <v>36</v>
      </c>
      <c r="H616" t="s">
        <v>19</v>
      </c>
      <c r="I616" t="s">
        <v>57</v>
      </c>
      <c r="J616" t="s">
        <v>37</v>
      </c>
      <c r="K616" s="2">
        <v>125408</v>
      </c>
      <c r="L616" t="s">
        <v>22</v>
      </c>
      <c r="M616" s="2">
        <v>0.48</v>
      </c>
      <c r="N616" s="2">
        <v>0.64</v>
      </c>
      <c r="O616" s="2">
        <v>45926.02</v>
      </c>
      <c r="P616" s="2">
        <v>0</v>
      </c>
      <c r="Q616">
        <f t="shared" si="36"/>
        <v>59700</v>
      </c>
      <c r="R616">
        <f t="shared" ca="1" si="37"/>
        <v>61</v>
      </c>
      <c r="S616" s="2">
        <f t="shared" si="38"/>
        <v>7718.0199999999968</v>
      </c>
      <c r="T616" s="18">
        <v>0.1</v>
      </c>
      <c r="U616">
        <f t="shared" si="39"/>
        <v>8489.8219999999965</v>
      </c>
    </row>
    <row r="617" spans="1:21" x14ac:dyDescent="0.3">
      <c r="A617" t="s">
        <v>1276</v>
      </c>
      <c r="B617" s="1">
        <v>44307</v>
      </c>
      <c r="C617" t="s">
        <v>1277</v>
      </c>
      <c r="D617" s="3" t="s">
        <v>53</v>
      </c>
      <c r="E617" s="2">
        <v>31659</v>
      </c>
      <c r="F617" s="2">
        <v>23.9</v>
      </c>
      <c r="G617" s="4">
        <v>60</v>
      </c>
      <c r="H617" t="s">
        <v>26</v>
      </c>
      <c r="I617" t="s">
        <v>20</v>
      </c>
      <c r="J617" t="s">
        <v>32</v>
      </c>
      <c r="K617" s="2">
        <v>39018</v>
      </c>
      <c r="L617" t="s">
        <v>22</v>
      </c>
      <c r="M617" s="2">
        <v>0.39</v>
      </c>
      <c r="N617" s="2">
        <v>0.92</v>
      </c>
      <c r="O617" s="2">
        <v>13280.94</v>
      </c>
      <c r="P617" s="2">
        <v>0</v>
      </c>
      <c r="Q617">
        <f t="shared" si="36"/>
        <v>34411.956521739128</v>
      </c>
      <c r="R617">
        <f t="shared" ca="1" si="37"/>
        <v>58</v>
      </c>
      <c r="S617" s="2">
        <f t="shared" si="38"/>
        <v>-18378.059999999998</v>
      </c>
      <c r="T617" s="18">
        <v>0.1</v>
      </c>
      <c r="U617">
        <f t="shared" si="39"/>
        <v>-20215.865999999998</v>
      </c>
    </row>
    <row r="618" spans="1:21" x14ac:dyDescent="0.3">
      <c r="A618" t="s">
        <v>1278</v>
      </c>
      <c r="B618" s="1">
        <v>44957</v>
      </c>
      <c r="C618" t="s">
        <v>1279</v>
      </c>
      <c r="D618" s="3" t="s">
        <v>76</v>
      </c>
      <c r="E618" s="2">
        <v>36840</v>
      </c>
      <c r="F618" s="2">
        <v>11.8</v>
      </c>
      <c r="G618" s="4">
        <v>36</v>
      </c>
      <c r="H618" t="s">
        <v>19</v>
      </c>
      <c r="I618" t="s">
        <v>57</v>
      </c>
      <c r="J618" t="s">
        <v>28</v>
      </c>
      <c r="K618" s="2">
        <v>79500</v>
      </c>
      <c r="L618" t="s">
        <v>22</v>
      </c>
      <c r="M618" s="2">
        <v>0.3</v>
      </c>
      <c r="N618" s="2">
        <v>0.8</v>
      </c>
      <c r="O618" s="2">
        <v>41187.120000000003</v>
      </c>
      <c r="P618" s="2">
        <v>0</v>
      </c>
      <c r="Q618">
        <f t="shared" si="36"/>
        <v>46050</v>
      </c>
      <c r="R618">
        <f t="shared" ca="1" si="37"/>
        <v>37</v>
      </c>
      <c r="S618" s="2">
        <f t="shared" si="38"/>
        <v>4347.1200000000026</v>
      </c>
      <c r="T618" s="18">
        <v>0.1</v>
      </c>
      <c r="U618">
        <f t="shared" si="39"/>
        <v>4781.8320000000031</v>
      </c>
    </row>
    <row r="619" spans="1:21" x14ac:dyDescent="0.3">
      <c r="A619" t="s">
        <v>1280</v>
      </c>
      <c r="B619" s="1">
        <v>45044</v>
      </c>
      <c r="C619" t="s">
        <v>1281</v>
      </c>
      <c r="D619" s="3" t="s">
        <v>65</v>
      </c>
      <c r="E619" s="2">
        <v>32890</v>
      </c>
      <c r="F619" s="2">
        <v>15.3</v>
      </c>
      <c r="G619" s="4">
        <v>36</v>
      </c>
      <c r="H619" t="s">
        <v>26</v>
      </c>
      <c r="I619" t="s">
        <v>73</v>
      </c>
      <c r="J619" t="s">
        <v>32</v>
      </c>
      <c r="K619" s="2">
        <v>42100</v>
      </c>
      <c r="L619" t="s">
        <v>29</v>
      </c>
      <c r="M619" s="2">
        <v>0.35</v>
      </c>
      <c r="N619" s="2">
        <v>0.55000000000000004</v>
      </c>
      <c r="O619" s="2">
        <v>8090.19</v>
      </c>
      <c r="P619" s="2">
        <v>0</v>
      </c>
      <c r="Q619">
        <f t="shared" si="36"/>
        <v>59799.999999999993</v>
      </c>
      <c r="R619">
        <f t="shared" ca="1" si="37"/>
        <v>34</v>
      </c>
      <c r="S619" s="2">
        <f t="shared" si="38"/>
        <v>-24799.81</v>
      </c>
      <c r="T619" s="18">
        <v>0.1</v>
      </c>
      <c r="U619">
        <f t="shared" si="39"/>
        <v>-27279.791000000005</v>
      </c>
    </row>
    <row r="620" spans="1:21" x14ac:dyDescent="0.3">
      <c r="A620" t="s">
        <v>1282</v>
      </c>
      <c r="B620" s="1">
        <v>44291</v>
      </c>
      <c r="C620" t="s">
        <v>1283</v>
      </c>
      <c r="D620" s="3" t="s">
        <v>65</v>
      </c>
      <c r="E620" s="2">
        <v>14598</v>
      </c>
      <c r="F620" s="2">
        <v>12.6</v>
      </c>
      <c r="G620" s="4">
        <v>36</v>
      </c>
      <c r="H620" t="s">
        <v>19</v>
      </c>
      <c r="I620" t="s">
        <v>57</v>
      </c>
      <c r="J620" t="s">
        <v>28</v>
      </c>
      <c r="K620" s="2">
        <v>87021</v>
      </c>
      <c r="L620" t="s">
        <v>29</v>
      </c>
      <c r="M620" s="2">
        <v>0.4</v>
      </c>
      <c r="N620" s="2">
        <v>0.53</v>
      </c>
      <c r="O620" s="2">
        <v>16437.349999999999</v>
      </c>
      <c r="P620" s="2">
        <v>0</v>
      </c>
      <c r="Q620">
        <f t="shared" si="36"/>
        <v>27543.396226415094</v>
      </c>
      <c r="R620">
        <f t="shared" ca="1" si="37"/>
        <v>59</v>
      </c>
      <c r="S620" s="2">
        <f t="shared" si="38"/>
        <v>1839.3499999999985</v>
      </c>
      <c r="T620" s="18">
        <v>0.1</v>
      </c>
      <c r="U620">
        <f t="shared" si="39"/>
        <v>2023.2849999999985</v>
      </c>
    </row>
    <row r="621" spans="1:21" x14ac:dyDescent="0.3">
      <c r="A621" t="s">
        <v>1284</v>
      </c>
      <c r="B621" s="1">
        <v>45096</v>
      </c>
      <c r="C621" t="s">
        <v>1285</v>
      </c>
      <c r="D621" s="3" t="s">
        <v>72</v>
      </c>
      <c r="E621" s="2">
        <v>20508</v>
      </c>
      <c r="F621" s="2">
        <v>5.0999999999999996</v>
      </c>
      <c r="G621" s="4">
        <v>60</v>
      </c>
      <c r="H621" t="s">
        <v>81</v>
      </c>
      <c r="I621" t="s">
        <v>20</v>
      </c>
      <c r="J621" t="s">
        <v>21</v>
      </c>
      <c r="K621" s="2">
        <v>144995</v>
      </c>
      <c r="L621" t="s">
        <v>22</v>
      </c>
      <c r="M621" s="2">
        <v>0.34</v>
      </c>
      <c r="N621" s="2">
        <v>0.72</v>
      </c>
      <c r="O621" s="2">
        <v>2495.92</v>
      </c>
      <c r="P621" s="2">
        <v>3057.79</v>
      </c>
      <c r="Q621">
        <f t="shared" si="36"/>
        <v>28483.333333333336</v>
      </c>
      <c r="R621">
        <f t="shared" ca="1" si="37"/>
        <v>33</v>
      </c>
      <c r="S621" s="2">
        <f t="shared" si="38"/>
        <v>-14954.29</v>
      </c>
      <c r="T621" s="18">
        <v>0.1</v>
      </c>
      <c r="U621">
        <f t="shared" si="39"/>
        <v>-16449.719000000001</v>
      </c>
    </row>
    <row r="622" spans="1:21" x14ac:dyDescent="0.3">
      <c r="A622" t="s">
        <v>1286</v>
      </c>
      <c r="B622" s="1">
        <v>44556</v>
      </c>
      <c r="C622" t="s">
        <v>1287</v>
      </c>
      <c r="D622" s="3" t="s">
        <v>25</v>
      </c>
      <c r="E622" s="2">
        <v>14380</v>
      </c>
      <c r="F622" s="2">
        <v>12.7</v>
      </c>
      <c r="G622" s="4">
        <v>36</v>
      </c>
      <c r="H622" t="s">
        <v>19</v>
      </c>
      <c r="I622" t="s">
        <v>57</v>
      </c>
      <c r="J622" t="s">
        <v>47</v>
      </c>
      <c r="K622" s="2">
        <v>49800</v>
      </c>
      <c r="L622" t="s">
        <v>33</v>
      </c>
      <c r="M622" s="2">
        <v>0.11</v>
      </c>
      <c r="N622" s="2">
        <v>0.6</v>
      </c>
      <c r="O622" s="2">
        <v>16206.26</v>
      </c>
      <c r="P622" s="2">
        <v>0</v>
      </c>
      <c r="Q622">
        <f t="shared" si="36"/>
        <v>23966.666666666668</v>
      </c>
      <c r="R622">
        <f t="shared" ca="1" si="37"/>
        <v>50</v>
      </c>
      <c r="S622" s="2">
        <f t="shared" si="38"/>
        <v>1826.2600000000002</v>
      </c>
      <c r="T622" s="18">
        <v>0.1</v>
      </c>
      <c r="U622">
        <f t="shared" si="39"/>
        <v>2008.8860000000004</v>
      </c>
    </row>
    <row r="623" spans="1:21" x14ac:dyDescent="0.3">
      <c r="A623" t="s">
        <v>1288</v>
      </c>
      <c r="B623" s="1">
        <v>45096</v>
      </c>
      <c r="C623" t="s">
        <v>1289</v>
      </c>
      <c r="D623" s="3" t="s">
        <v>50</v>
      </c>
      <c r="E623" s="2">
        <v>27984</v>
      </c>
      <c r="F623" s="2">
        <v>20.8</v>
      </c>
      <c r="G623" s="4">
        <v>36</v>
      </c>
      <c r="H623" t="s">
        <v>19</v>
      </c>
      <c r="I623" t="s">
        <v>57</v>
      </c>
      <c r="J623" t="s">
        <v>47</v>
      </c>
      <c r="K623" s="2">
        <v>93400</v>
      </c>
      <c r="L623" t="s">
        <v>29</v>
      </c>
      <c r="M623" s="2">
        <v>0.18</v>
      </c>
      <c r="N623" s="2">
        <v>0.61</v>
      </c>
      <c r="O623" s="2">
        <v>33804.67</v>
      </c>
      <c r="P623" s="2">
        <v>0</v>
      </c>
      <c r="Q623">
        <f t="shared" si="36"/>
        <v>45875.409836065577</v>
      </c>
      <c r="R623">
        <f t="shared" ca="1" si="37"/>
        <v>33</v>
      </c>
      <c r="S623" s="2">
        <f t="shared" si="38"/>
        <v>5820.6699999999983</v>
      </c>
      <c r="T623" s="18">
        <v>0.1</v>
      </c>
      <c r="U623">
        <f t="shared" si="39"/>
        <v>6402.7369999999983</v>
      </c>
    </row>
    <row r="624" spans="1:21" x14ac:dyDescent="0.3">
      <c r="A624" t="s">
        <v>1290</v>
      </c>
      <c r="B624" s="1">
        <v>44477</v>
      </c>
      <c r="C624" t="s">
        <v>1291</v>
      </c>
      <c r="D624" s="3" t="s">
        <v>65</v>
      </c>
      <c r="E624" s="2">
        <v>9125</v>
      </c>
      <c r="F624" s="2">
        <v>16.899999999999999</v>
      </c>
      <c r="G624" s="4">
        <v>60</v>
      </c>
      <c r="H624" t="s">
        <v>26</v>
      </c>
      <c r="I624" t="s">
        <v>36</v>
      </c>
      <c r="J624" t="s">
        <v>21</v>
      </c>
      <c r="K624" s="2">
        <v>122446</v>
      </c>
      <c r="L624" t="s">
        <v>22</v>
      </c>
      <c r="M624" s="2">
        <v>0.42</v>
      </c>
      <c r="N624" s="2">
        <v>0.89</v>
      </c>
      <c r="O624" s="2">
        <v>3684.51</v>
      </c>
      <c r="P624" s="2">
        <v>0</v>
      </c>
      <c r="Q624">
        <f t="shared" si="36"/>
        <v>10252.808988764045</v>
      </c>
      <c r="R624">
        <f t="shared" ca="1" si="37"/>
        <v>53</v>
      </c>
      <c r="S624" s="2">
        <f t="shared" si="38"/>
        <v>-5440.49</v>
      </c>
      <c r="T624" s="18">
        <v>0.1</v>
      </c>
      <c r="U624">
        <f t="shared" si="39"/>
        <v>-5984.5390000000007</v>
      </c>
    </row>
    <row r="625" spans="1:21" x14ac:dyDescent="0.3">
      <c r="A625" t="s">
        <v>1292</v>
      </c>
      <c r="B625" s="1">
        <v>44863</v>
      </c>
      <c r="C625" t="s">
        <v>1293</v>
      </c>
      <c r="D625" s="3" t="s">
        <v>65</v>
      </c>
      <c r="E625" s="2">
        <v>37059</v>
      </c>
      <c r="F625" s="2">
        <v>7</v>
      </c>
      <c r="G625" s="4">
        <v>60</v>
      </c>
      <c r="H625" t="s">
        <v>19</v>
      </c>
      <c r="I625" t="s">
        <v>20</v>
      </c>
      <c r="J625" t="s">
        <v>37</v>
      </c>
      <c r="K625" s="2">
        <v>59437</v>
      </c>
      <c r="L625" t="s">
        <v>33</v>
      </c>
      <c r="M625" s="2">
        <v>0.21</v>
      </c>
      <c r="N625" s="2">
        <v>0.54</v>
      </c>
      <c r="O625" s="2">
        <v>39653.129999999997</v>
      </c>
      <c r="P625" s="2">
        <v>0</v>
      </c>
      <c r="Q625">
        <f t="shared" si="36"/>
        <v>68627.777777777766</v>
      </c>
      <c r="R625">
        <f t="shared" ca="1" si="37"/>
        <v>40</v>
      </c>
      <c r="S625" s="2">
        <f t="shared" si="38"/>
        <v>2594.1299999999974</v>
      </c>
      <c r="T625" s="18">
        <v>0.1</v>
      </c>
      <c r="U625">
        <f t="shared" si="39"/>
        <v>2853.5429999999974</v>
      </c>
    </row>
    <row r="626" spans="1:21" x14ac:dyDescent="0.3">
      <c r="A626" t="s">
        <v>1294</v>
      </c>
      <c r="B626" s="1">
        <v>44289</v>
      </c>
      <c r="C626" t="s">
        <v>1295</v>
      </c>
      <c r="D626" s="3" t="s">
        <v>56</v>
      </c>
      <c r="E626" s="2">
        <v>5033</v>
      </c>
      <c r="F626" s="2">
        <v>21.9</v>
      </c>
      <c r="G626" s="4">
        <v>36</v>
      </c>
      <c r="H626" t="s">
        <v>26</v>
      </c>
      <c r="I626" t="s">
        <v>20</v>
      </c>
      <c r="J626" t="s">
        <v>21</v>
      </c>
      <c r="K626" s="2">
        <v>133124</v>
      </c>
      <c r="L626" t="s">
        <v>33</v>
      </c>
      <c r="M626" s="2">
        <v>0.39</v>
      </c>
      <c r="N626" s="2">
        <v>0.82</v>
      </c>
      <c r="O626" s="2">
        <v>1105.3900000000001</v>
      </c>
      <c r="P626" s="2">
        <v>0</v>
      </c>
      <c r="Q626">
        <f t="shared" si="36"/>
        <v>6137.8048780487807</v>
      </c>
      <c r="R626">
        <f t="shared" ca="1" si="37"/>
        <v>59</v>
      </c>
      <c r="S626" s="2">
        <f t="shared" si="38"/>
        <v>-3927.6099999999997</v>
      </c>
      <c r="T626" s="18">
        <v>0.1</v>
      </c>
      <c r="U626">
        <f t="shared" si="39"/>
        <v>-4320.3710000000001</v>
      </c>
    </row>
    <row r="627" spans="1:21" x14ac:dyDescent="0.3">
      <c r="A627" t="s">
        <v>1296</v>
      </c>
      <c r="B627" s="1">
        <v>44868</v>
      </c>
      <c r="C627" t="s">
        <v>1297</v>
      </c>
      <c r="D627" s="3" t="s">
        <v>46</v>
      </c>
      <c r="E627" s="2">
        <v>38873</v>
      </c>
      <c r="F627" s="2">
        <v>15.6</v>
      </c>
      <c r="G627" s="4">
        <v>36</v>
      </c>
      <c r="H627" t="s">
        <v>60</v>
      </c>
      <c r="I627" t="s">
        <v>20</v>
      </c>
      <c r="J627" t="s">
        <v>21</v>
      </c>
      <c r="K627" s="2">
        <v>106537</v>
      </c>
      <c r="L627" t="s">
        <v>22</v>
      </c>
      <c r="M627" s="2">
        <v>0.25</v>
      </c>
      <c r="N627" s="2">
        <v>0.62</v>
      </c>
      <c r="O627" s="2">
        <v>0</v>
      </c>
      <c r="P627" s="2">
        <v>0</v>
      </c>
      <c r="Q627">
        <f t="shared" si="36"/>
        <v>62698.387096774197</v>
      </c>
      <c r="R627">
        <f t="shared" ca="1" si="37"/>
        <v>40</v>
      </c>
      <c r="S627" s="2">
        <f t="shared" si="38"/>
        <v>-38873</v>
      </c>
      <c r="T627" s="18">
        <v>0.1</v>
      </c>
      <c r="U627">
        <f t="shared" si="39"/>
        <v>-42760.3</v>
      </c>
    </row>
    <row r="628" spans="1:21" x14ac:dyDescent="0.3">
      <c r="A628" t="s">
        <v>1298</v>
      </c>
      <c r="B628" s="1">
        <v>44257</v>
      </c>
      <c r="C628" t="s">
        <v>1299</v>
      </c>
      <c r="D628" s="3" t="s">
        <v>56</v>
      </c>
      <c r="E628" s="2">
        <v>18087</v>
      </c>
      <c r="F628" s="2">
        <v>21.8</v>
      </c>
      <c r="G628" s="4">
        <v>60</v>
      </c>
      <c r="H628" t="s">
        <v>26</v>
      </c>
      <c r="I628" t="s">
        <v>57</v>
      </c>
      <c r="J628" t="s">
        <v>28</v>
      </c>
      <c r="K628" s="2">
        <v>76675</v>
      </c>
      <c r="L628" t="s">
        <v>29</v>
      </c>
      <c r="M628" s="2">
        <v>0.31</v>
      </c>
      <c r="N628" s="2">
        <v>0.84</v>
      </c>
      <c r="O628" s="2">
        <v>1721.26</v>
      </c>
      <c r="P628" s="2">
        <v>0</v>
      </c>
      <c r="Q628">
        <f t="shared" si="36"/>
        <v>21532.142857142859</v>
      </c>
      <c r="R628">
        <f t="shared" ca="1" si="37"/>
        <v>60</v>
      </c>
      <c r="S628" s="2">
        <f t="shared" si="38"/>
        <v>-16365.74</v>
      </c>
      <c r="T628" s="18">
        <v>0.1</v>
      </c>
      <c r="U628">
        <f t="shared" si="39"/>
        <v>-18002.314000000002</v>
      </c>
    </row>
    <row r="629" spans="1:21" x14ac:dyDescent="0.3">
      <c r="A629" t="s">
        <v>1300</v>
      </c>
      <c r="B629" s="1">
        <v>44830</v>
      </c>
      <c r="C629" t="s">
        <v>1301</v>
      </c>
      <c r="D629" s="3" t="s">
        <v>56</v>
      </c>
      <c r="E629" s="2">
        <v>6704</v>
      </c>
      <c r="F629" s="2">
        <v>16.600000000000001</v>
      </c>
      <c r="G629" s="4">
        <v>60</v>
      </c>
      <c r="H629" t="s">
        <v>19</v>
      </c>
      <c r="I629" t="s">
        <v>27</v>
      </c>
      <c r="J629" t="s">
        <v>21</v>
      </c>
      <c r="K629" s="2">
        <v>49942</v>
      </c>
      <c r="L629" t="s">
        <v>33</v>
      </c>
      <c r="M629" s="2">
        <v>0.13</v>
      </c>
      <c r="N629" s="2">
        <v>0.83</v>
      </c>
      <c r="O629" s="2">
        <v>7816.86</v>
      </c>
      <c r="P629" s="2">
        <v>0</v>
      </c>
      <c r="Q629">
        <f t="shared" si="36"/>
        <v>8077.1084337349403</v>
      </c>
      <c r="R629">
        <f t="shared" ca="1" si="37"/>
        <v>41</v>
      </c>
      <c r="S629" s="2">
        <f t="shared" si="38"/>
        <v>1112.8599999999997</v>
      </c>
      <c r="T629" s="18">
        <v>0.1</v>
      </c>
      <c r="U629">
        <f t="shared" si="39"/>
        <v>1224.1459999999997</v>
      </c>
    </row>
    <row r="630" spans="1:21" x14ac:dyDescent="0.3">
      <c r="A630" t="s">
        <v>1302</v>
      </c>
      <c r="B630" s="1">
        <v>45271</v>
      </c>
      <c r="C630" t="s">
        <v>1303</v>
      </c>
      <c r="D630" s="3" t="s">
        <v>46</v>
      </c>
      <c r="E630" s="2">
        <v>8848</v>
      </c>
      <c r="F630" s="2">
        <v>16.2</v>
      </c>
      <c r="G630" s="4">
        <v>60</v>
      </c>
      <c r="H630" t="s">
        <v>26</v>
      </c>
      <c r="I630" t="s">
        <v>27</v>
      </c>
      <c r="J630" t="s">
        <v>47</v>
      </c>
      <c r="K630" s="2">
        <v>50862</v>
      </c>
      <c r="L630" t="s">
        <v>29</v>
      </c>
      <c r="M630" s="2">
        <v>0.17</v>
      </c>
      <c r="N630" s="2">
        <v>0.5</v>
      </c>
      <c r="O630" s="2">
        <v>2965.85</v>
      </c>
      <c r="P630" s="2">
        <v>0</v>
      </c>
      <c r="Q630">
        <f t="shared" si="36"/>
        <v>17696</v>
      </c>
      <c r="R630">
        <f t="shared" ca="1" si="37"/>
        <v>27</v>
      </c>
      <c r="S630" s="2">
        <f t="shared" si="38"/>
        <v>-5882.15</v>
      </c>
      <c r="T630" s="18">
        <v>0.1</v>
      </c>
      <c r="U630">
        <f t="shared" si="39"/>
        <v>-6470.3649999999998</v>
      </c>
    </row>
    <row r="631" spans="1:21" x14ac:dyDescent="0.3">
      <c r="A631" t="s">
        <v>1304</v>
      </c>
      <c r="B631" s="1">
        <v>45225</v>
      </c>
      <c r="C631" t="s">
        <v>1305</v>
      </c>
      <c r="D631" s="3" t="s">
        <v>25</v>
      </c>
      <c r="E631" s="2">
        <v>22592</v>
      </c>
      <c r="F631" s="2">
        <v>7.1</v>
      </c>
      <c r="G631" s="4">
        <v>60</v>
      </c>
      <c r="H631" t="s">
        <v>26</v>
      </c>
      <c r="I631" t="s">
        <v>73</v>
      </c>
      <c r="J631" t="s">
        <v>32</v>
      </c>
      <c r="K631" s="2">
        <v>41669</v>
      </c>
      <c r="L631" t="s">
        <v>29</v>
      </c>
      <c r="M631" s="2">
        <v>0.48</v>
      </c>
      <c r="N631" s="2">
        <v>0.73</v>
      </c>
      <c r="O631" s="2">
        <v>10077.370000000001</v>
      </c>
      <c r="P631" s="2">
        <v>0</v>
      </c>
      <c r="Q631">
        <f t="shared" si="36"/>
        <v>30947.945205479453</v>
      </c>
      <c r="R631">
        <f t="shared" ca="1" si="37"/>
        <v>28</v>
      </c>
      <c r="S631" s="2">
        <f t="shared" si="38"/>
        <v>-12514.63</v>
      </c>
      <c r="T631" s="18">
        <v>0.1</v>
      </c>
      <c r="U631">
        <f t="shared" si="39"/>
        <v>-13766.093000000001</v>
      </c>
    </row>
    <row r="632" spans="1:21" x14ac:dyDescent="0.3">
      <c r="A632" t="s">
        <v>1306</v>
      </c>
      <c r="B632" s="1">
        <v>44800</v>
      </c>
      <c r="C632" t="s">
        <v>1307</v>
      </c>
      <c r="D632" s="3" t="s">
        <v>53</v>
      </c>
      <c r="E632" s="2">
        <v>7924</v>
      </c>
      <c r="F632" s="2">
        <v>8.3000000000000007</v>
      </c>
      <c r="G632" s="4">
        <v>60</v>
      </c>
      <c r="H632" t="s">
        <v>26</v>
      </c>
      <c r="I632" t="s">
        <v>27</v>
      </c>
      <c r="J632" t="s">
        <v>28</v>
      </c>
      <c r="K632" s="2">
        <v>83772</v>
      </c>
      <c r="L632" t="s">
        <v>33</v>
      </c>
      <c r="M632" s="2">
        <v>0.46</v>
      </c>
      <c r="N632" s="2">
        <v>0.56000000000000005</v>
      </c>
      <c r="O632" s="2">
        <v>3561.75</v>
      </c>
      <c r="P632" s="2">
        <v>0</v>
      </c>
      <c r="Q632">
        <f t="shared" si="36"/>
        <v>14149.999999999998</v>
      </c>
      <c r="R632">
        <f t="shared" ca="1" si="37"/>
        <v>42</v>
      </c>
      <c r="S632" s="2">
        <f t="shared" si="38"/>
        <v>-4362.25</v>
      </c>
      <c r="T632" s="18">
        <v>0.1</v>
      </c>
      <c r="U632">
        <f t="shared" si="39"/>
        <v>-4798.4750000000004</v>
      </c>
    </row>
    <row r="633" spans="1:21" x14ac:dyDescent="0.3">
      <c r="A633" t="s">
        <v>1308</v>
      </c>
      <c r="B633" s="1">
        <v>44878</v>
      </c>
      <c r="C633" t="s">
        <v>1309</v>
      </c>
      <c r="D633" s="3" t="s">
        <v>40</v>
      </c>
      <c r="E633" s="2">
        <v>28208</v>
      </c>
      <c r="F633" s="2">
        <v>24.4</v>
      </c>
      <c r="G633" s="4">
        <v>60</v>
      </c>
      <c r="H633" t="s">
        <v>19</v>
      </c>
      <c r="I633" t="s">
        <v>57</v>
      </c>
      <c r="J633" t="s">
        <v>28</v>
      </c>
      <c r="K633" s="2">
        <v>45916</v>
      </c>
      <c r="L633" t="s">
        <v>22</v>
      </c>
      <c r="M633" s="2">
        <v>0.36</v>
      </c>
      <c r="N633" s="2">
        <v>0.89</v>
      </c>
      <c r="O633" s="2">
        <v>35090.75</v>
      </c>
      <c r="P633" s="2">
        <v>0</v>
      </c>
      <c r="Q633">
        <f t="shared" si="36"/>
        <v>31694.382022471909</v>
      </c>
      <c r="R633">
        <f t="shared" ca="1" si="37"/>
        <v>40</v>
      </c>
      <c r="S633" s="2">
        <f t="shared" si="38"/>
        <v>6882.75</v>
      </c>
      <c r="T633" s="18">
        <v>0.1</v>
      </c>
      <c r="U633">
        <f t="shared" si="39"/>
        <v>7571.0250000000005</v>
      </c>
    </row>
    <row r="634" spans="1:21" x14ac:dyDescent="0.3">
      <c r="A634" t="s">
        <v>1310</v>
      </c>
      <c r="B634" s="1">
        <v>44730</v>
      </c>
      <c r="C634" t="s">
        <v>1311</v>
      </c>
      <c r="D634" s="3" t="s">
        <v>50</v>
      </c>
      <c r="E634" s="2">
        <v>20614</v>
      </c>
      <c r="F634" s="2">
        <v>9.6</v>
      </c>
      <c r="G634" s="4">
        <v>60</v>
      </c>
      <c r="H634" t="s">
        <v>19</v>
      </c>
      <c r="I634" t="s">
        <v>27</v>
      </c>
      <c r="J634" t="s">
        <v>37</v>
      </c>
      <c r="K634" s="2">
        <v>40878</v>
      </c>
      <c r="L634" t="s">
        <v>33</v>
      </c>
      <c r="M634" s="2">
        <v>0.28000000000000003</v>
      </c>
      <c r="N634" s="2">
        <v>0.89</v>
      </c>
      <c r="O634" s="2">
        <v>22592.94</v>
      </c>
      <c r="P634" s="2">
        <v>0</v>
      </c>
      <c r="Q634">
        <f t="shared" si="36"/>
        <v>23161.797752808987</v>
      </c>
      <c r="R634">
        <f t="shared" ca="1" si="37"/>
        <v>45</v>
      </c>
      <c r="S634" s="2">
        <f t="shared" si="38"/>
        <v>1978.9399999999987</v>
      </c>
      <c r="T634" s="18">
        <v>0.1</v>
      </c>
      <c r="U634">
        <f t="shared" si="39"/>
        <v>2176.8339999999989</v>
      </c>
    </row>
    <row r="635" spans="1:21" x14ac:dyDescent="0.3">
      <c r="A635" t="s">
        <v>1312</v>
      </c>
      <c r="B635" s="1">
        <v>45034</v>
      </c>
      <c r="C635" t="s">
        <v>1313</v>
      </c>
      <c r="D635" s="3" t="s">
        <v>65</v>
      </c>
      <c r="E635" s="2">
        <v>1488</v>
      </c>
      <c r="F635" s="2">
        <v>24.5</v>
      </c>
      <c r="G635" s="4">
        <v>36</v>
      </c>
      <c r="H635" t="s">
        <v>19</v>
      </c>
      <c r="I635" t="s">
        <v>20</v>
      </c>
      <c r="J635" t="s">
        <v>32</v>
      </c>
      <c r="K635" s="2">
        <v>32985</v>
      </c>
      <c r="L635" t="s">
        <v>33</v>
      </c>
      <c r="M635" s="2">
        <v>0.37</v>
      </c>
      <c r="N635" s="2">
        <v>0.69</v>
      </c>
      <c r="O635" s="2">
        <v>1852.56</v>
      </c>
      <c r="P635" s="2">
        <v>0</v>
      </c>
      <c r="Q635">
        <f t="shared" si="36"/>
        <v>2156.521739130435</v>
      </c>
      <c r="R635">
        <f t="shared" ca="1" si="37"/>
        <v>35</v>
      </c>
      <c r="S635" s="2">
        <f t="shared" si="38"/>
        <v>364.55999999999995</v>
      </c>
      <c r="T635" s="18">
        <v>0.1</v>
      </c>
      <c r="U635">
        <f t="shared" si="39"/>
        <v>401.01599999999996</v>
      </c>
    </row>
    <row r="636" spans="1:21" x14ac:dyDescent="0.3">
      <c r="A636" t="s">
        <v>1314</v>
      </c>
      <c r="B636" s="1">
        <v>44841</v>
      </c>
      <c r="C636" t="s">
        <v>1315</v>
      </c>
      <c r="D636" s="3" t="s">
        <v>72</v>
      </c>
      <c r="E636" s="2">
        <v>26923</v>
      </c>
      <c r="F636" s="2">
        <v>15.6</v>
      </c>
      <c r="G636" s="4">
        <v>60</v>
      </c>
      <c r="H636" t="s">
        <v>19</v>
      </c>
      <c r="I636" t="s">
        <v>57</v>
      </c>
      <c r="J636" t="s">
        <v>28</v>
      </c>
      <c r="K636" s="2">
        <v>127905</v>
      </c>
      <c r="L636" t="s">
        <v>29</v>
      </c>
      <c r="M636" s="2">
        <v>0.35</v>
      </c>
      <c r="N636" s="2">
        <v>0.7</v>
      </c>
      <c r="O636" s="2">
        <v>31122.99</v>
      </c>
      <c r="P636" s="2">
        <v>0</v>
      </c>
      <c r="Q636">
        <f t="shared" si="36"/>
        <v>38461.428571428572</v>
      </c>
      <c r="R636">
        <f t="shared" ca="1" si="37"/>
        <v>41</v>
      </c>
      <c r="S636" s="2">
        <f t="shared" si="38"/>
        <v>4199.9900000000016</v>
      </c>
      <c r="T636" s="18">
        <v>0.1</v>
      </c>
      <c r="U636">
        <f t="shared" si="39"/>
        <v>4619.9890000000023</v>
      </c>
    </row>
    <row r="637" spans="1:21" x14ac:dyDescent="0.3">
      <c r="A637" t="s">
        <v>1316</v>
      </c>
      <c r="B637" s="1">
        <v>44429</v>
      </c>
      <c r="C637" t="s">
        <v>1317</v>
      </c>
      <c r="D637" s="3" t="s">
        <v>50</v>
      </c>
      <c r="E637" s="2">
        <v>36941</v>
      </c>
      <c r="F637" s="2">
        <v>7.7</v>
      </c>
      <c r="G637" s="4">
        <v>60</v>
      </c>
      <c r="H637" t="s">
        <v>19</v>
      </c>
      <c r="I637" t="s">
        <v>84</v>
      </c>
      <c r="J637" t="s">
        <v>21</v>
      </c>
      <c r="K637" s="2">
        <v>103648</v>
      </c>
      <c r="L637" t="s">
        <v>22</v>
      </c>
      <c r="M637" s="2">
        <v>0.33</v>
      </c>
      <c r="N637" s="2">
        <v>0.64</v>
      </c>
      <c r="O637" s="2">
        <v>39785.46</v>
      </c>
      <c r="P637" s="2">
        <v>0</v>
      </c>
      <c r="Q637">
        <f t="shared" si="36"/>
        <v>57720.3125</v>
      </c>
      <c r="R637">
        <f t="shared" ca="1" si="37"/>
        <v>54</v>
      </c>
      <c r="S637" s="2">
        <f t="shared" si="38"/>
        <v>2844.4599999999991</v>
      </c>
      <c r="T637" s="18">
        <v>0.1</v>
      </c>
      <c r="U637">
        <f t="shared" si="39"/>
        <v>3128.9059999999995</v>
      </c>
    </row>
    <row r="638" spans="1:21" x14ac:dyDescent="0.3">
      <c r="A638" t="s">
        <v>1318</v>
      </c>
      <c r="B638" s="1">
        <v>44720</v>
      </c>
      <c r="C638" t="s">
        <v>1319</v>
      </c>
      <c r="D638" s="3" t="s">
        <v>53</v>
      </c>
      <c r="E638" s="2">
        <v>30165</v>
      </c>
      <c r="F638" s="2">
        <v>7</v>
      </c>
      <c r="G638" s="4">
        <v>36</v>
      </c>
      <c r="H638" t="s">
        <v>19</v>
      </c>
      <c r="I638" t="s">
        <v>84</v>
      </c>
      <c r="J638" t="s">
        <v>28</v>
      </c>
      <c r="K638" s="2">
        <v>71235</v>
      </c>
      <c r="L638" t="s">
        <v>29</v>
      </c>
      <c r="M638" s="2">
        <v>0.12</v>
      </c>
      <c r="N638" s="2">
        <v>0.82</v>
      </c>
      <c r="O638" s="2">
        <v>32276.55</v>
      </c>
      <c r="P638" s="2">
        <v>0</v>
      </c>
      <c r="Q638">
        <f t="shared" si="36"/>
        <v>36786.585365853658</v>
      </c>
      <c r="R638">
        <f t="shared" ca="1" si="37"/>
        <v>45</v>
      </c>
      <c r="S638" s="2">
        <f t="shared" si="38"/>
        <v>2111.5499999999993</v>
      </c>
      <c r="T638" s="18">
        <v>0.1</v>
      </c>
      <c r="U638">
        <f t="shared" si="39"/>
        <v>2322.7049999999995</v>
      </c>
    </row>
    <row r="639" spans="1:21" x14ac:dyDescent="0.3">
      <c r="A639" t="s">
        <v>1320</v>
      </c>
      <c r="B639" s="1">
        <v>44542</v>
      </c>
      <c r="C639" t="s">
        <v>1321</v>
      </c>
      <c r="D639" s="3" t="s">
        <v>46</v>
      </c>
      <c r="E639" s="2">
        <v>2667</v>
      </c>
      <c r="F639" s="2">
        <v>9.1999999999999993</v>
      </c>
      <c r="G639" s="4">
        <v>60</v>
      </c>
      <c r="H639" t="s">
        <v>26</v>
      </c>
      <c r="I639" t="s">
        <v>27</v>
      </c>
      <c r="J639" t="s">
        <v>28</v>
      </c>
      <c r="K639" s="2">
        <v>48931</v>
      </c>
      <c r="L639" t="s">
        <v>33</v>
      </c>
      <c r="M639" s="2">
        <v>0.35</v>
      </c>
      <c r="N639" s="2">
        <v>0.66</v>
      </c>
      <c r="O639" s="2">
        <v>1282.69</v>
      </c>
      <c r="P639" s="2">
        <v>0</v>
      </c>
      <c r="Q639">
        <f t="shared" si="36"/>
        <v>4040.9090909090905</v>
      </c>
      <c r="R639">
        <f t="shared" ca="1" si="37"/>
        <v>51</v>
      </c>
      <c r="S639" s="2">
        <f t="shared" si="38"/>
        <v>-1384.31</v>
      </c>
      <c r="T639" s="18">
        <v>0.1</v>
      </c>
      <c r="U639">
        <f t="shared" si="39"/>
        <v>-1522.741</v>
      </c>
    </row>
    <row r="640" spans="1:21" x14ac:dyDescent="0.3">
      <c r="A640" t="s">
        <v>1322</v>
      </c>
      <c r="B640" s="1">
        <v>45266</v>
      </c>
      <c r="C640" t="s">
        <v>1323</v>
      </c>
      <c r="D640" s="3" t="s">
        <v>50</v>
      </c>
      <c r="E640" s="2">
        <v>27213</v>
      </c>
      <c r="F640" s="2">
        <v>23.5</v>
      </c>
      <c r="G640" s="4">
        <v>60</v>
      </c>
      <c r="H640" t="s">
        <v>81</v>
      </c>
      <c r="I640" t="s">
        <v>20</v>
      </c>
      <c r="J640" t="s">
        <v>28</v>
      </c>
      <c r="K640" s="2">
        <v>122876</v>
      </c>
      <c r="L640" t="s">
        <v>22</v>
      </c>
      <c r="M640" s="2">
        <v>0.41</v>
      </c>
      <c r="N640" s="2">
        <v>0.62</v>
      </c>
      <c r="O640" s="2">
        <v>9805.16</v>
      </c>
      <c r="P640" s="2">
        <v>8501.7099999999991</v>
      </c>
      <c r="Q640">
        <f t="shared" si="36"/>
        <v>43891.93548387097</v>
      </c>
      <c r="R640">
        <f t="shared" ca="1" si="37"/>
        <v>27</v>
      </c>
      <c r="S640" s="2">
        <f t="shared" si="38"/>
        <v>-8906.130000000001</v>
      </c>
      <c r="T640" s="18">
        <v>0.1</v>
      </c>
      <c r="U640">
        <f t="shared" si="39"/>
        <v>-9796.7430000000022</v>
      </c>
    </row>
    <row r="641" spans="1:21" x14ac:dyDescent="0.3">
      <c r="A641" t="s">
        <v>1324</v>
      </c>
      <c r="B641" s="1">
        <v>44742</v>
      </c>
      <c r="C641" t="s">
        <v>1325</v>
      </c>
      <c r="D641" s="3" t="s">
        <v>65</v>
      </c>
      <c r="E641" s="2">
        <v>5114</v>
      </c>
      <c r="F641" s="2">
        <v>13.3</v>
      </c>
      <c r="G641" s="4">
        <v>36</v>
      </c>
      <c r="H641" t="s">
        <v>26</v>
      </c>
      <c r="I641" t="s">
        <v>20</v>
      </c>
      <c r="J641" t="s">
        <v>37</v>
      </c>
      <c r="K641" s="2">
        <v>30336</v>
      </c>
      <c r="L641" t="s">
        <v>22</v>
      </c>
      <c r="M641" s="2">
        <v>0.5</v>
      </c>
      <c r="N641" s="2">
        <v>0.69</v>
      </c>
      <c r="O641" s="2">
        <v>260.63</v>
      </c>
      <c r="P641" s="2">
        <v>0</v>
      </c>
      <c r="Q641">
        <f t="shared" si="36"/>
        <v>7411.594202898551</v>
      </c>
      <c r="R641">
        <f t="shared" ca="1" si="37"/>
        <v>44</v>
      </c>
      <c r="S641" s="2">
        <f t="shared" si="38"/>
        <v>-4853.37</v>
      </c>
      <c r="T641" s="18">
        <v>0.1</v>
      </c>
      <c r="U641">
        <f t="shared" si="39"/>
        <v>-5338.7070000000003</v>
      </c>
    </row>
    <row r="642" spans="1:21" x14ac:dyDescent="0.3">
      <c r="A642" t="s">
        <v>1326</v>
      </c>
      <c r="B642" s="1">
        <v>44990</v>
      </c>
      <c r="C642" t="s">
        <v>1327</v>
      </c>
      <c r="D642" s="3" t="s">
        <v>50</v>
      </c>
      <c r="E642" s="2">
        <v>37321</v>
      </c>
      <c r="F642" s="2">
        <v>12.9</v>
      </c>
      <c r="G642" s="4">
        <v>60</v>
      </c>
      <c r="H642" t="s">
        <v>19</v>
      </c>
      <c r="I642" t="s">
        <v>41</v>
      </c>
      <c r="J642" t="s">
        <v>28</v>
      </c>
      <c r="K642" s="2">
        <v>72933</v>
      </c>
      <c r="L642" t="s">
        <v>22</v>
      </c>
      <c r="M642" s="2">
        <v>0.1</v>
      </c>
      <c r="N642" s="2">
        <v>0.54</v>
      </c>
      <c r="O642" s="2">
        <v>42135.41</v>
      </c>
      <c r="P642" s="2">
        <v>0</v>
      </c>
      <c r="Q642">
        <f t="shared" si="36"/>
        <v>69112.962962962964</v>
      </c>
      <c r="R642">
        <f t="shared" ca="1" si="37"/>
        <v>36</v>
      </c>
      <c r="S642" s="2">
        <f t="shared" si="38"/>
        <v>4814.4100000000035</v>
      </c>
      <c r="T642" s="18">
        <v>0.1</v>
      </c>
      <c r="U642">
        <f t="shared" si="39"/>
        <v>5295.8510000000042</v>
      </c>
    </row>
    <row r="643" spans="1:21" x14ac:dyDescent="0.3">
      <c r="A643" t="s">
        <v>1328</v>
      </c>
      <c r="B643" s="1">
        <v>44445</v>
      </c>
      <c r="C643" t="s">
        <v>1329</v>
      </c>
      <c r="D643" s="3" t="s">
        <v>40</v>
      </c>
      <c r="E643" s="2">
        <v>8761</v>
      </c>
      <c r="F643" s="2">
        <v>11.3</v>
      </c>
      <c r="G643" s="4">
        <v>36</v>
      </c>
      <c r="H643" t="s">
        <v>19</v>
      </c>
      <c r="I643" t="s">
        <v>20</v>
      </c>
      <c r="J643" t="s">
        <v>28</v>
      </c>
      <c r="K643" s="2">
        <v>114899</v>
      </c>
      <c r="L643" t="s">
        <v>22</v>
      </c>
      <c r="M643" s="2">
        <v>0.39</v>
      </c>
      <c r="N643" s="2">
        <v>0.84</v>
      </c>
      <c r="O643" s="2">
        <v>9750.99</v>
      </c>
      <c r="P643" s="2">
        <v>0</v>
      </c>
      <c r="Q643">
        <f t="shared" ref="Q643:Q706" si="40">E643/N643</f>
        <v>10429.761904761905</v>
      </c>
      <c r="R643">
        <f t="shared" ref="R643:R706" ca="1" si="41">DATEDIF(B643, TODAY(), "M")</f>
        <v>54</v>
      </c>
      <c r="S643" s="2">
        <f t="shared" ref="S643:S706" si="42">(O643+P643)-E643</f>
        <v>989.98999999999978</v>
      </c>
      <c r="T643" s="18">
        <v>0.1</v>
      </c>
      <c r="U643">
        <f t="shared" ref="U643:U706" si="43">S643*(1+T643)</f>
        <v>1088.9889999999998</v>
      </c>
    </row>
    <row r="644" spans="1:21" x14ac:dyDescent="0.3">
      <c r="A644" t="s">
        <v>1330</v>
      </c>
      <c r="B644" s="1">
        <v>44243</v>
      </c>
      <c r="C644" t="s">
        <v>1331</v>
      </c>
      <c r="D644" s="3" t="s">
        <v>46</v>
      </c>
      <c r="E644" s="2">
        <v>32116</v>
      </c>
      <c r="F644" s="2">
        <v>7.9</v>
      </c>
      <c r="G644" s="4">
        <v>36</v>
      </c>
      <c r="H644" t="s">
        <v>60</v>
      </c>
      <c r="I644" t="s">
        <v>20</v>
      </c>
      <c r="J644" t="s">
        <v>37</v>
      </c>
      <c r="K644" s="2">
        <v>75536</v>
      </c>
      <c r="L644" t="s">
        <v>22</v>
      </c>
      <c r="M644" s="2">
        <v>0.33</v>
      </c>
      <c r="N644" s="2">
        <v>0.51</v>
      </c>
      <c r="O644" s="2">
        <v>0</v>
      </c>
      <c r="P644" s="2">
        <v>0</v>
      </c>
      <c r="Q644">
        <f t="shared" si="40"/>
        <v>62972.549019607839</v>
      </c>
      <c r="R644">
        <f t="shared" ca="1" si="41"/>
        <v>61</v>
      </c>
      <c r="S644" s="2">
        <f t="shared" si="42"/>
        <v>-32116</v>
      </c>
      <c r="T644" s="18">
        <v>0.1</v>
      </c>
      <c r="U644">
        <f t="shared" si="43"/>
        <v>-35327.600000000006</v>
      </c>
    </row>
    <row r="645" spans="1:21" x14ac:dyDescent="0.3">
      <c r="A645" t="s">
        <v>1332</v>
      </c>
      <c r="B645" s="1">
        <v>44410</v>
      </c>
      <c r="C645" t="s">
        <v>1333</v>
      </c>
      <c r="D645" s="3" t="s">
        <v>50</v>
      </c>
      <c r="E645" s="2">
        <v>34768</v>
      </c>
      <c r="F645" s="2">
        <v>14.8</v>
      </c>
      <c r="G645" s="4">
        <v>36</v>
      </c>
      <c r="H645" t="s">
        <v>60</v>
      </c>
      <c r="I645" t="s">
        <v>20</v>
      </c>
      <c r="J645" t="s">
        <v>32</v>
      </c>
      <c r="K645" s="2">
        <v>99504</v>
      </c>
      <c r="L645" t="s">
        <v>33</v>
      </c>
      <c r="M645" s="2">
        <v>0.27</v>
      </c>
      <c r="N645" s="2">
        <v>0.79</v>
      </c>
      <c r="O645" s="2">
        <v>0</v>
      </c>
      <c r="P645" s="2">
        <v>0</v>
      </c>
      <c r="Q645">
        <f t="shared" si="40"/>
        <v>44010.126582278477</v>
      </c>
      <c r="R645">
        <f t="shared" ca="1" si="41"/>
        <v>55</v>
      </c>
      <c r="S645" s="2">
        <f t="shared" si="42"/>
        <v>-34768</v>
      </c>
      <c r="T645" s="18">
        <v>0.1</v>
      </c>
      <c r="U645">
        <f t="shared" si="43"/>
        <v>-38244.800000000003</v>
      </c>
    </row>
    <row r="646" spans="1:21" x14ac:dyDescent="0.3">
      <c r="A646" t="s">
        <v>1334</v>
      </c>
      <c r="B646" s="1">
        <v>44435</v>
      </c>
      <c r="C646" t="s">
        <v>1335</v>
      </c>
      <c r="D646" s="3" t="s">
        <v>65</v>
      </c>
      <c r="E646" s="2">
        <v>26426</v>
      </c>
      <c r="F646" s="2">
        <v>7.6</v>
      </c>
      <c r="G646" s="4">
        <v>36</v>
      </c>
      <c r="H646" t="s">
        <v>81</v>
      </c>
      <c r="I646" t="s">
        <v>57</v>
      </c>
      <c r="J646" t="s">
        <v>47</v>
      </c>
      <c r="K646" s="2">
        <v>129214</v>
      </c>
      <c r="L646" t="s">
        <v>33</v>
      </c>
      <c r="M646" s="2">
        <v>0.15</v>
      </c>
      <c r="N646" s="2">
        <v>0.57999999999999996</v>
      </c>
      <c r="O646" s="2">
        <v>5657.08</v>
      </c>
      <c r="P646" s="2">
        <v>8575.9699999999993</v>
      </c>
      <c r="Q646">
        <f t="shared" si="40"/>
        <v>45562.068965517246</v>
      </c>
      <c r="R646">
        <f t="shared" ca="1" si="41"/>
        <v>54</v>
      </c>
      <c r="S646" s="2">
        <f t="shared" si="42"/>
        <v>-12192.95</v>
      </c>
      <c r="T646" s="18">
        <v>0.1</v>
      </c>
      <c r="U646">
        <f t="shared" si="43"/>
        <v>-13412.245000000003</v>
      </c>
    </row>
    <row r="647" spans="1:21" x14ac:dyDescent="0.3">
      <c r="A647" t="s">
        <v>1336</v>
      </c>
      <c r="B647" s="1">
        <v>45276</v>
      </c>
      <c r="C647" t="s">
        <v>1337</v>
      </c>
      <c r="D647" s="3" t="s">
        <v>65</v>
      </c>
      <c r="E647" s="2">
        <v>18772</v>
      </c>
      <c r="F647" s="2">
        <v>21.7</v>
      </c>
      <c r="G647" s="4">
        <v>60</v>
      </c>
      <c r="H647" t="s">
        <v>26</v>
      </c>
      <c r="I647" t="s">
        <v>20</v>
      </c>
      <c r="J647" t="s">
        <v>37</v>
      </c>
      <c r="K647" s="2">
        <v>81148</v>
      </c>
      <c r="L647" t="s">
        <v>33</v>
      </c>
      <c r="M647" s="2">
        <v>0.26</v>
      </c>
      <c r="N647" s="2">
        <v>0.6</v>
      </c>
      <c r="O647" s="2">
        <v>7853.16</v>
      </c>
      <c r="P647" s="2">
        <v>0</v>
      </c>
      <c r="Q647">
        <f t="shared" si="40"/>
        <v>31286.666666666668</v>
      </c>
      <c r="R647">
        <f t="shared" ca="1" si="41"/>
        <v>27</v>
      </c>
      <c r="S647" s="2">
        <f t="shared" si="42"/>
        <v>-10918.84</v>
      </c>
      <c r="T647" s="18">
        <v>0.1</v>
      </c>
      <c r="U647">
        <f t="shared" si="43"/>
        <v>-12010.724000000002</v>
      </c>
    </row>
    <row r="648" spans="1:21" x14ac:dyDescent="0.3">
      <c r="A648" t="s">
        <v>1338</v>
      </c>
      <c r="B648" s="1">
        <v>44546</v>
      </c>
      <c r="C648" t="s">
        <v>1339</v>
      </c>
      <c r="D648" s="3" t="s">
        <v>50</v>
      </c>
      <c r="E648" s="2">
        <v>39218</v>
      </c>
      <c r="F648" s="2">
        <v>12.4</v>
      </c>
      <c r="G648" s="4">
        <v>36</v>
      </c>
      <c r="H648" t="s">
        <v>19</v>
      </c>
      <c r="I648" t="s">
        <v>73</v>
      </c>
      <c r="J648" t="s">
        <v>37</v>
      </c>
      <c r="K648" s="2">
        <v>143936</v>
      </c>
      <c r="L648" t="s">
        <v>29</v>
      </c>
      <c r="M648" s="2">
        <v>0.24</v>
      </c>
      <c r="N648" s="2">
        <v>0.79</v>
      </c>
      <c r="O648" s="2">
        <v>44081.03</v>
      </c>
      <c r="P648" s="2">
        <v>0</v>
      </c>
      <c r="Q648">
        <f t="shared" si="40"/>
        <v>49643.037974683539</v>
      </c>
      <c r="R648">
        <f t="shared" ca="1" si="41"/>
        <v>51</v>
      </c>
      <c r="S648" s="2">
        <f t="shared" si="42"/>
        <v>4863.0299999999988</v>
      </c>
      <c r="T648" s="18">
        <v>0.1</v>
      </c>
      <c r="U648">
        <f t="shared" si="43"/>
        <v>5349.3329999999987</v>
      </c>
    </row>
    <row r="649" spans="1:21" x14ac:dyDescent="0.3">
      <c r="A649" t="s">
        <v>1340</v>
      </c>
      <c r="B649" s="1">
        <v>44303</v>
      </c>
      <c r="C649" t="s">
        <v>1341</v>
      </c>
      <c r="D649" s="3" t="s">
        <v>25</v>
      </c>
      <c r="E649" s="2">
        <v>4712</v>
      </c>
      <c r="F649" s="2">
        <v>12.5</v>
      </c>
      <c r="G649" s="4">
        <v>36</v>
      </c>
      <c r="H649" t="s">
        <v>26</v>
      </c>
      <c r="I649" t="s">
        <v>73</v>
      </c>
      <c r="J649" t="s">
        <v>28</v>
      </c>
      <c r="K649" s="2">
        <v>46279</v>
      </c>
      <c r="L649" t="s">
        <v>22</v>
      </c>
      <c r="M649" s="2">
        <v>0.22</v>
      </c>
      <c r="N649" s="2">
        <v>0.95</v>
      </c>
      <c r="O649" s="2">
        <v>1012.2</v>
      </c>
      <c r="P649" s="2">
        <v>0</v>
      </c>
      <c r="Q649">
        <f t="shared" si="40"/>
        <v>4960</v>
      </c>
      <c r="R649">
        <f t="shared" ca="1" si="41"/>
        <v>59</v>
      </c>
      <c r="S649" s="2">
        <f t="shared" si="42"/>
        <v>-3699.8</v>
      </c>
      <c r="T649" s="18">
        <v>0.1</v>
      </c>
      <c r="U649">
        <f t="shared" si="43"/>
        <v>-4069.7800000000007</v>
      </c>
    </row>
    <row r="650" spans="1:21" x14ac:dyDescent="0.3">
      <c r="A650" t="s">
        <v>1342</v>
      </c>
      <c r="B650" s="1">
        <v>45027</v>
      </c>
      <c r="C650" t="s">
        <v>1343</v>
      </c>
      <c r="D650" s="3" t="s">
        <v>72</v>
      </c>
      <c r="E650" s="2">
        <v>2367</v>
      </c>
      <c r="F650" s="2">
        <v>14.5</v>
      </c>
      <c r="G650" s="4">
        <v>60</v>
      </c>
      <c r="H650" t="s">
        <v>19</v>
      </c>
      <c r="I650" t="s">
        <v>36</v>
      </c>
      <c r="J650" t="s">
        <v>28</v>
      </c>
      <c r="K650" s="2">
        <v>98665</v>
      </c>
      <c r="L650" t="s">
        <v>22</v>
      </c>
      <c r="M650" s="2">
        <v>0.39</v>
      </c>
      <c r="N650" s="2">
        <v>0.85</v>
      </c>
      <c r="O650" s="2">
        <v>2710.22</v>
      </c>
      <c r="P650" s="2">
        <v>0</v>
      </c>
      <c r="Q650">
        <f t="shared" si="40"/>
        <v>2784.7058823529414</v>
      </c>
      <c r="R650">
        <f t="shared" ca="1" si="41"/>
        <v>35</v>
      </c>
      <c r="S650" s="2">
        <f t="shared" si="42"/>
        <v>343.2199999999998</v>
      </c>
      <c r="T650" s="18">
        <v>0.1</v>
      </c>
      <c r="U650">
        <f t="shared" si="43"/>
        <v>377.5419999999998</v>
      </c>
    </row>
    <row r="651" spans="1:21" x14ac:dyDescent="0.3">
      <c r="A651" t="s">
        <v>1344</v>
      </c>
      <c r="B651" s="1">
        <v>44244</v>
      </c>
      <c r="C651" t="s">
        <v>1345</v>
      </c>
      <c r="D651" s="3" t="s">
        <v>18</v>
      </c>
      <c r="E651" s="2">
        <v>27200</v>
      </c>
      <c r="F651" s="2">
        <v>13.9</v>
      </c>
      <c r="G651" s="4">
        <v>36</v>
      </c>
      <c r="H651" t="s">
        <v>19</v>
      </c>
      <c r="I651" t="s">
        <v>20</v>
      </c>
      <c r="J651" t="s">
        <v>47</v>
      </c>
      <c r="K651" s="2">
        <v>133751</v>
      </c>
      <c r="L651" t="s">
        <v>33</v>
      </c>
      <c r="M651" s="2">
        <v>0.38</v>
      </c>
      <c r="N651" s="2">
        <v>0.6</v>
      </c>
      <c r="O651" s="2">
        <v>30980.799999999999</v>
      </c>
      <c r="P651" s="2">
        <v>0</v>
      </c>
      <c r="Q651">
        <f t="shared" si="40"/>
        <v>45333.333333333336</v>
      </c>
      <c r="R651">
        <f t="shared" ca="1" si="41"/>
        <v>61</v>
      </c>
      <c r="S651" s="2">
        <f t="shared" si="42"/>
        <v>3780.7999999999993</v>
      </c>
      <c r="T651" s="18">
        <v>0.1</v>
      </c>
      <c r="U651">
        <f t="shared" si="43"/>
        <v>4158.8799999999992</v>
      </c>
    </row>
    <row r="652" spans="1:21" x14ac:dyDescent="0.3">
      <c r="A652" t="s">
        <v>1346</v>
      </c>
      <c r="B652" s="1">
        <v>44533</v>
      </c>
      <c r="C652" t="s">
        <v>1347</v>
      </c>
      <c r="D652" s="3" t="s">
        <v>56</v>
      </c>
      <c r="E652" s="2">
        <v>4726</v>
      </c>
      <c r="F652" s="2">
        <v>24.9</v>
      </c>
      <c r="G652" s="4">
        <v>36</v>
      </c>
      <c r="H652" t="s">
        <v>26</v>
      </c>
      <c r="I652" t="s">
        <v>57</v>
      </c>
      <c r="J652" t="s">
        <v>28</v>
      </c>
      <c r="K652" s="2">
        <v>134433</v>
      </c>
      <c r="L652" t="s">
        <v>22</v>
      </c>
      <c r="M652" s="2">
        <v>0.34</v>
      </c>
      <c r="N652" s="2">
        <v>0.57999999999999996</v>
      </c>
      <c r="O652" s="2">
        <v>1515.61</v>
      </c>
      <c r="P652" s="2">
        <v>0</v>
      </c>
      <c r="Q652">
        <f t="shared" si="40"/>
        <v>8148.2758620689665</v>
      </c>
      <c r="R652">
        <f t="shared" ca="1" si="41"/>
        <v>51</v>
      </c>
      <c r="S652" s="2">
        <f t="shared" si="42"/>
        <v>-3210.3900000000003</v>
      </c>
      <c r="T652" s="18">
        <v>0.1</v>
      </c>
      <c r="U652">
        <f t="shared" si="43"/>
        <v>-3531.4290000000005</v>
      </c>
    </row>
    <row r="653" spans="1:21" x14ac:dyDescent="0.3">
      <c r="A653" t="s">
        <v>1348</v>
      </c>
      <c r="B653" s="1">
        <v>45246</v>
      </c>
      <c r="C653" t="s">
        <v>1349</v>
      </c>
      <c r="D653" s="3" t="s">
        <v>46</v>
      </c>
      <c r="E653" s="2">
        <v>24616</v>
      </c>
      <c r="F653" s="2">
        <v>15.9</v>
      </c>
      <c r="G653" s="4">
        <v>36</v>
      </c>
      <c r="H653" t="s">
        <v>19</v>
      </c>
      <c r="I653" t="s">
        <v>73</v>
      </c>
      <c r="J653" t="s">
        <v>21</v>
      </c>
      <c r="K653" s="2">
        <v>101386</v>
      </c>
      <c r="L653" t="s">
        <v>29</v>
      </c>
      <c r="M653" s="2">
        <v>0.48</v>
      </c>
      <c r="N653" s="2">
        <v>0.89</v>
      </c>
      <c r="O653" s="2">
        <v>28529.94</v>
      </c>
      <c r="P653" s="2">
        <v>0</v>
      </c>
      <c r="Q653">
        <f t="shared" si="40"/>
        <v>27658.426966292136</v>
      </c>
      <c r="R653">
        <f t="shared" ca="1" si="41"/>
        <v>28</v>
      </c>
      <c r="S653" s="2">
        <f t="shared" si="42"/>
        <v>3913.9399999999987</v>
      </c>
      <c r="T653" s="18">
        <v>0.1</v>
      </c>
      <c r="U653">
        <f t="shared" si="43"/>
        <v>4305.3339999999989</v>
      </c>
    </row>
    <row r="654" spans="1:21" x14ac:dyDescent="0.3">
      <c r="A654" t="s">
        <v>1350</v>
      </c>
      <c r="B654" s="1">
        <v>45000</v>
      </c>
      <c r="C654" t="s">
        <v>1351</v>
      </c>
      <c r="D654" s="3" t="s">
        <v>18</v>
      </c>
      <c r="E654" s="2">
        <v>28723</v>
      </c>
      <c r="F654" s="2">
        <v>6.8</v>
      </c>
      <c r="G654" s="4">
        <v>36</v>
      </c>
      <c r="H654" t="s">
        <v>19</v>
      </c>
      <c r="I654" t="s">
        <v>73</v>
      </c>
      <c r="J654" t="s">
        <v>28</v>
      </c>
      <c r="K654" s="2">
        <v>116124</v>
      </c>
      <c r="L654" t="s">
        <v>22</v>
      </c>
      <c r="M654" s="2">
        <v>0.24</v>
      </c>
      <c r="N654" s="2">
        <v>0.7</v>
      </c>
      <c r="O654" s="2">
        <v>30676.16</v>
      </c>
      <c r="P654" s="2">
        <v>0</v>
      </c>
      <c r="Q654">
        <f t="shared" si="40"/>
        <v>41032.857142857145</v>
      </c>
      <c r="R654">
        <f t="shared" ca="1" si="41"/>
        <v>36</v>
      </c>
      <c r="S654" s="2">
        <f t="shared" si="42"/>
        <v>1953.1599999999999</v>
      </c>
      <c r="T654" s="18">
        <v>0.1</v>
      </c>
      <c r="U654">
        <f t="shared" si="43"/>
        <v>2148.4760000000001</v>
      </c>
    </row>
    <row r="655" spans="1:21" x14ac:dyDescent="0.3">
      <c r="A655" t="s">
        <v>1352</v>
      </c>
      <c r="B655" s="1">
        <v>44204</v>
      </c>
      <c r="C655" t="s">
        <v>1353</v>
      </c>
      <c r="D655" s="3" t="s">
        <v>53</v>
      </c>
      <c r="E655" s="2">
        <v>38574</v>
      </c>
      <c r="F655" s="2">
        <v>17.100000000000001</v>
      </c>
      <c r="G655" s="4">
        <v>60</v>
      </c>
      <c r="H655" t="s">
        <v>19</v>
      </c>
      <c r="I655" t="s">
        <v>73</v>
      </c>
      <c r="J655" t="s">
        <v>28</v>
      </c>
      <c r="K655" s="2">
        <v>135750</v>
      </c>
      <c r="L655" t="s">
        <v>22</v>
      </c>
      <c r="M655" s="2">
        <v>0.2</v>
      </c>
      <c r="N655" s="2">
        <v>0.56000000000000005</v>
      </c>
      <c r="O655" s="2">
        <v>45170.15</v>
      </c>
      <c r="P655" s="2">
        <v>0</v>
      </c>
      <c r="Q655">
        <f t="shared" si="40"/>
        <v>68882.142857142855</v>
      </c>
      <c r="R655">
        <f t="shared" ca="1" si="41"/>
        <v>62</v>
      </c>
      <c r="S655" s="2">
        <f t="shared" si="42"/>
        <v>6596.1500000000015</v>
      </c>
      <c r="T655" s="18">
        <v>0.1</v>
      </c>
      <c r="U655">
        <f t="shared" si="43"/>
        <v>7255.7650000000021</v>
      </c>
    </row>
    <row r="656" spans="1:21" x14ac:dyDescent="0.3">
      <c r="A656" t="s">
        <v>1354</v>
      </c>
      <c r="B656" s="1">
        <v>44821</v>
      </c>
      <c r="C656" t="s">
        <v>1355</v>
      </c>
      <c r="D656" s="3" t="s">
        <v>53</v>
      </c>
      <c r="E656" s="2">
        <v>35958</v>
      </c>
      <c r="F656" s="2">
        <v>8</v>
      </c>
      <c r="G656" s="4">
        <v>36</v>
      </c>
      <c r="H656" t="s">
        <v>19</v>
      </c>
      <c r="I656" t="s">
        <v>84</v>
      </c>
      <c r="J656" t="s">
        <v>21</v>
      </c>
      <c r="K656" s="2">
        <v>107485</v>
      </c>
      <c r="L656" t="s">
        <v>29</v>
      </c>
      <c r="M656" s="2">
        <v>0.36</v>
      </c>
      <c r="N656" s="2">
        <v>0.89</v>
      </c>
      <c r="O656" s="2">
        <v>38834.639999999999</v>
      </c>
      <c r="P656" s="2">
        <v>0</v>
      </c>
      <c r="Q656">
        <f t="shared" si="40"/>
        <v>40402.247191011236</v>
      </c>
      <c r="R656">
        <f t="shared" ca="1" si="41"/>
        <v>42</v>
      </c>
      <c r="S656" s="2">
        <f t="shared" si="42"/>
        <v>2876.6399999999994</v>
      </c>
      <c r="T656" s="18">
        <v>0.1</v>
      </c>
      <c r="U656">
        <f t="shared" si="43"/>
        <v>3164.3039999999996</v>
      </c>
    </row>
    <row r="657" spans="1:21" x14ac:dyDescent="0.3">
      <c r="A657" t="s">
        <v>1356</v>
      </c>
      <c r="B657" s="1">
        <v>44915</v>
      </c>
      <c r="C657" t="s">
        <v>1357</v>
      </c>
      <c r="D657" s="3" t="s">
        <v>65</v>
      </c>
      <c r="E657" s="2">
        <v>10108</v>
      </c>
      <c r="F657" s="2">
        <v>5.6</v>
      </c>
      <c r="G657" s="4">
        <v>60</v>
      </c>
      <c r="H657" t="s">
        <v>81</v>
      </c>
      <c r="I657" t="s">
        <v>20</v>
      </c>
      <c r="J657" t="s">
        <v>47</v>
      </c>
      <c r="K657" s="2">
        <v>104055</v>
      </c>
      <c r="L657" t="s">
        <v>33</v>
      </c>
      <c r="M657" s="2">
        <v>0.18</v>
      </c>
      <c r="N657" s="2">
        <v>0.87</v>
      </c>
      <c r="O657" s="2">
        <v>2849.4</v>
      </c>
      <c r="P657" s="2">
        <v>2210.77</v>
      </c>
      <c r="Q657">
        <f t="shared" si="40"/>
        <v>11618.3908045977</v>
      </c>
      <c r="R657">
        <f t="shared" ca="1" si="41"/>
        <v>38</v>
      </c>
      <c r="S657" s="2">
        <f t="shared" si="42"/>
        <v>-5047.83</v>
      </c>
      <c r="T657" s="18">
        <v>0.1</v>
      </c>
      <c r="U657">
        <f t="shared" si="43"/>
        <v>-5552.6130000000003</v>
      </c>
    </row>
    <row r="658" spans="1:21" x14ac:dyDescent="0.3">
      <c r="A658" t="s">
        <v>1358</v>
      </c>
      <c r="B658" s="1">
        <v>44499</v>
      </c>
      <c r="C658" t="s">
        <v>1359</v>
      </c>
      <c r="D658" s="3" t="s">
        <v>53</v>
      </c>
      <c r="E658" s="2">
        <v>13178</v>
      </c>
      <c r="F658" s="2">
        <v>24.4</v>
      </c>
      <c r="G658" s="4">
        <v>60</v>
      </c>
      <c r="H658" t="s">
        <v>19</v>
      </c>
      <c r="I658" t="s">
        <v>84</v>
      </c>
      <c r="J658" t="s">
        <v>21</v>
      </c>
      <c r="K658" s="2">
        <v>121911</v>
      </c>
      <c r="L658" t="s">
        <v>33</v>
      </c>
      <c r="M658" s="2">
        <v>0.23</v>
      </c>
      <c r="N658" s="2">
        <v>0.94</v>
      </c>
      <c r="O658" s="2">
        <v>16393.43</v>
      </c>
      <c r="P658" s="2">
        <v>0</v>
      </c>
      <c r="Q658">
        <f t="shared" si="40"/>
        <v>14019.148936170213</v>
      </c>
      <c r="R658">
        <f t="shared" ca="1" si="41"/>
        <v>52</v>
      </c>
      <c r="S658" s="2">
        <f t="shared" si="42"/>
        <v>3215.4300000000003</v>
      </c>
      <c r="T658" s="18">
        <v>0.1</v>
      </c>
      <c r="U658">
        <f t="shared" si="43"/>
        <v>3536.9730000000004</v>
      </c>
    </row>
    <row r="659" spans="1:21" x14ac:dyDescent="0.3">
      <c r="A659" t="s">
        <v>1360</v>
      </c>
      <c r="B659" s="1">
        <v>44835</v>
      </c>
      <c r="C659" t="s">
        <v>1361</v>
      </c>
      <c r="D659" s="3" t="s">
        <v>25</v>
      </c>
      <c r="E659" s="2">
        <v>36643</v>
      </c>
      <c r="F659" s="2">
        <v>20.5</v>
      </c>
      <c r="G659" s="4">
        <v>36</v>
      </c>
      <c r="H659" t="s">
        <v>19</v>
      </c>
      <c r="I659" t="s">
        <v>73</v>
      </c>
      <c r="J659" t="s">
        <v>37</v>
      </c>
      <c r="K659" s="2">
        <v>128618</v>
      </c>
      <c r="L659" t="s">
        <v>22</v>
      </c>
      <c r="M659" s="2">
        <v>0.19</v>
      </c>
      <c r="N659" s="2">
        <v>0.91</v>
      </c>
      <c r="O659" s="2">
        <v>44154.82</v>
      </c>
      <c r="P659" s="2">
        <v>0</v>
      </c>
      <c r="Q659">
        <f t="shared" si="40"/>
        <v>40267.032967032967</v>
      </c>
      <c r="R659">
        <f t="shared" ca="1" si="41"/>
        <v>41</v>
      </c>
      <c r="S659" s="2">
        <f t="shared" si="42"/>
        <v>7511.82</v>
      </c>
      <c r="T659" s="18">
        <v>0.1</v>
      </c>
      <c r="U659">
        <f t="shared" si="43"/>
        <v>8263.0020000000004</v>
      </c>
    </row>
    <row r="660" spans="1:21" x14ac:dyDescent="0.3">
      <c r="A660" t="s">
        <v>1362</v>
      </c>
      <c r="B660" s="1">
        <v>44252</v>
      </c>
      <c r="C660" t="s">
        <v>1363</v>
      </c>
      <c r="D660" s="3" t="s">
        <v>72</v>
      </c>
      <c r="E660" s="2">
        <v>32324</v>
      </c>
      <c r="F660" s="2">
        <v>24.6</v>
      </c>
      <c r="G660" s="4">
        <v>36</v>
      </c>
      <c r="H660" t="s">
        <v>19</v>
      </c>
      <c r="I660" t="s">
        <v>20</v>
      </c>
      <c r="J660" t="s">
        <v>21</v>
      </c>
      <c r="K660" s="2">
        <v>107273</v>
      </c>
      <c r="L660" t="s">
        <v>29</v>
      </c>
      <c r="M660" s="2">
        <v>0.13</v>
      </c>
      <c r="N660" s="2">
        <v>0.88</v>
      </c>
      <c r="O660" s="2">
        <v>40275.699999999997</v>
      </c>
      <c r="P660" s="2">
        <v>0</v>
      </c>
      <c r="Q660">
        <f t="shared" si="40"/>
        <v>36731.818181818184</v>
      </c>
      <c r="R660">
        <f t="shared" ca="1" si="41"/>
        <v>60</v>
      </c>
      <c r="S660" s="2">
        <f t="shared" si="42"/>
        <v>7951.6999999999971</v>
      </c>
      <c r="T660" s="18">
        <v>0.1</v>
      </c>
      <c r="U660">
        <f t="shared" si="43"/>
        <v>8746.8699999999972</v>
      </c>
    </row>
    <row r="661" spans="1:21" x14ac:dyDescent="0.3">
      <c r="A661" t="s">
        <v>1364</v>
      </c>
      <c r="B661" s="1">
        <v>44922</v>
      </c>
      <c r="C661" t="s">
        <v>1365</v>
      </c>
      <c r="D661" s="3" t="s">
        <v>53</v>
      </c>
      <c r="E661" s="2">
        <v>39360</v>
      </c>
      <c r="F661" s="2">
        <v>14.6</v>
      </c>
      <c r="G661" s="4">
        <v>36</v>
      </c>
      <c r="H661" t="s">
        <v>19</v>
      </c>
      <c r="I661" t="s">
        <v>36</v>
      </c>
      <c r="J661" t="s">
        <v>32</v>
      </c>
      <c r="K661" s="2">
        <v>96670</v>
      </c>
      <c r="L661" t="s">
        <v>33</v>
      </c>
      <c r="M661" s="2">
        <v>0.43</v>
      </c>
      <c r="N661" s="2">
        <v>0.52</v>
      </c>
      <c r="O661" s="2">
        <v>45106.559999999998</v>
      </c>
      <c r="P661" s="2">
        <v>0</v>
      </c>
      <c r="Q661">
        <f t="shared" si="40"/>
        <v>75692.307692307688</v>
      </c>
      <c r="R661">
        <f t="shared" ca="1" si="41"/>
        <v>38</v>
      </c>
      <c r="S661" s="2">
        <f t="shared" si="42"/>
        <v>5746.5599999999977</v>
      </c>
      <c r="T661" s="18">
        <v>0.1</v>
      </c>
      <c r="U661">
        <f t="shared" si="43"/>
        <v>6321.2159999999976</v>
      </c>
    </row>
    <row r="662" spans="1:21" x14ac:dyDescent="0.3">
      <c r="A662" t="s">
        <v>1366</v>
      </c>
      <c r="B662" s="1">
        <v>44722</v>
      </c>
      <c r="C662" t="s">
        <v>1367</v>
      </c>
      <c r="D662" s="3" t="s">
        <v>40</v>
      </c>
      <c r="E662" s="2">
        <v>18824</v>
      </c>
      <c r="F662" s="2">
        <v>15.6</v>
      </c>
      <c r="G662" s="4">
        <v>36</v>
      </c>
      <c r="H662" t="s">
        <v>19</v>
      </c>
      <c r="I662" t="s">
        <v>27</v>
      </c>
      <c r="J662" t="s">
        <v>37</v>
      </c>
      <c r="K662" s="2">
        <v>106474</v>
      </c>
      <c r="L662" t="s">
        <v>33</v>
      </c>
      <c r="M662" s="2">
        <v>0.2</v>
      </c>
      <c r="N662" s="2">
        <v>0.55000000000000004</v>
      </c>
      <c r="O662" s="2">
        <v>21760.54</v>
      </c>
      <c r="P662" s="2">
        <v>0</v>
      </c>
      <c r="Q662">
        <f t="shared" si="40"/>
        <v>34225.454545454544</v>
      </c>
      <c r="R662">
        <f t="shared" ca="1" si="41"/>
        <v>45</v>
      </c>
      <c r="S662" s="2">
        <f t="shared" si="42"/>
        <v>2936.5400000000009</v>
      </c>
      <c r="T662" s="18">
        <v>0.1</v>
      </c>
      <c r="U662">
        <f t="shared" si="43"/>
        <v>3230.1940000000013</v>
      </c>
    </row>
    <row r="663" spans="1:21" x14ac:dyDescent="0.3">
      <c r="A663" t="s">
        <v>1368</v>
      </c>
      <c r="B663" s="1">
        <v>44670</v>
      </c>
      <c r="C663" t="s">
        <v>1369</v>
      </c>
      <c r="D663" s="3" t="s">
        <v>72</v>
      </c>
      <c r="E663" s="2">
        <v>9927</v>
      </c>
      <c r="F663" s="2">
        <v>8.4</v>
      </c>
      <c r="G663" s="4">
        <v>60</v>
      </c>
      <c r="H663" t="s">
        <v>26</v>
      </c>
      <c r="I663" t="s">
        <v>20</v>
      </c>
      <c r="J663" t="s">
        <v>28</v>
      </c>
      <c r="K663" s="2">
        <v>84028</v>
      </c>
      <c r="L663" t="s">
        <v>33</v>
      </c>
      <c r="M663" s="2">
        <v>0.28999999999999998</v>
      </c>
      <c r="N663" s="2">
        <v>0.76</v>
      </c>
      <c r="O663" s="2">
        <v>2126.9699999999998</v>
      </c>
      <c r="P663" s="2">
        <v>0</v>
      </c>
      <c r="Q663">
        <f t="shared" si="40"/>
        <v>13061.842105263158</v>
      </c>
      <c r="R663">
        <f t="shared" ca="1" si="41"/>
        <v>47</v>
      </c>
      <c r="S663" s="2">
        <f t="shared" si="42"/>
        <v>-7800.0300000000007</v>
      </c>
      <c r="T663" s="18">
        <v>0.1</v>
      </c>
      <c r="U663">
        <f t="shared" si="43"/>
        <v>-8580.0330000000013</v>
      </c>
    </row>
    <row r="664" spans="1:21" x14ac:dyDescent="0.3">
      <c r="A664" t="s">
        <v>1370</v>
      </c>
      <c r="B664" s="1">
        <v>44224</v>
      </c>
      <c r="C664" t="s">
        <v>1371</v>
      </c>
      <c r="D664" s="3" t="s">
        <v>25</v>
      </c>
      <c r="E664" s="2">
        <v>29144</v>
      </c>
      <c r="F664" s="2">
        <v>9.9</v>
      </c>
      <c r="G664" s="4">
        <v>60</v>
      </c>
      <c r="H664" t="s">
        <v>19</v>
      </c>
      <c r="I664" t="s">
        <v>20</v>
      </c>
      <c r="J664" t="s">
        <v>37</v>
      </c>
      <c r="K664" s="2">
        <v>120022</v>
      </c>
      <c r="L664" t="s">
        <v>22</v>
      </c>
      <c r="M664" s="2">
        <v>0.12</v>
      </c>
      <c r="N664" s="2">
        <v>0.74</v>
      </c>
      <c r="O664" s="2">
        <v>32029.26</v>
      </c>
      <c r="P664" s="2">
        <v>0</v>
      </c>
      <c r="Q664">
        <f t="shared" si="40"/>
        <v>39383.783783783787</v>
      </c>
      <c r="R664">
        <f t="shared" ca="1" si="41"/>
        <v>61</v>
      </c>
      <c r="S664" s="2">
        <f t="shared" si="42"/>
        <v>2885.2599999999984</v>
      </c>
      <c r="T664" s="18">
        <v>0.1</v>
      </c>
      <c r="U664">
        <f t="shared" si="43"/>
        <v>3173.7859999999987</v>
      </c>
    </row>
    <row r="665" spans="1:21" x14ac:dyDescent="0.3">
      <c r="A665" t="s">
        <v>1372</v>
      </c>
      <c r="B665" s="1">
        <v>44274</v>
      </c>
      <c r="C665" t="s">
        <v>1373</v>
      </c>
      <c r="D665" s="3" t="s">
        <v>18</v>
      </c>
      <c r="E665" s="2">
        <v>32010</v>
      </c>
      <c r="F665" s="2">
        <v>21.8</v>
      </c>
      <c r="G665" s="4">
        <v>60</v>
      </c>
      <c r="H665" t="s">
        <v>26</v>
      </c>
      <c r="I665" t="s">
        <v>20</v>
      </c>
      <c r="J665" t="s">
        <v>47</v>
      </c>
      <c r="K665" s="2">
        <v>143892</v>
      </c>
      <c r="L665" t="s">
        <v>29</v>
      </c>
      <c r="M665" s="2">
        <v>0.38</v>
      </c>
      <c r="N665" s="2">
        <v>0.71</v>
      </c>
      <c r="O665" s="2">
        <v>14628.99</v>
      </c>
      <c r="P665" s="2">
        <v>0</v>
      </c>
      <c r="Q665">
        <f t="shared" si="40"/>
        <v>45084.507042253521</v>
      </c>
      <c r="R665">
        <f t="shared" ca="1" si="41"/>
        <v>60</v>
      </c>
      <c r="S665" s="2">
        <f t="shared" si="42"/>
        <v>-17381.010000000002</v>
      </c>
      <c r="T665" s="18">
        <v>0.1</v>
      </c>
      <c r="U665">
        <f t="shared" si="43"/>
        <v>-19119.111000000004</v>
      </c>
    </row>
    <row r="666" spans="1:21" x14ac:dyDescent="0.3">
      <c r="A666" t="s">
        <v>1374</v>
      </c>
      <c r="B666" s="1">
        <v>44561</v>
      </c>
      <c r="C666" t="s">
        <v>1375</v>
      </c>
      <c r="D666" s="3" t="s">
        <v>72</v>
      </c>
      <c r="E666" s="2">
        <v>23443</v>
      </c>
      <c r="F666" s="2">
        <v>12.1</v>
      </c>
      <c r="G666" s="4">
        <v>36</v>
      </c>
      <c r="H666" t="s">
        <v>315</v>
      </c>
      <c r="I666" t="s">
        <v>73</v>
      </c>
      <c r="J666" t="s">
        <v>47</v>
      </c>
      <c r="K666" s="2">
        <v>121632</v>
      </c>
      <c r="L666" t="s">
        <v>22</v>
      </c>
      <c r="M666" s="2">
        <v>0.23</v>
      </c>
      <c r="N666" s="2">
        <v>0.68</v>
      </c>
      <c r="O666" s="2">
        <v>0</v>
      </c>
      <c r="P666" s="2">
        <v>0</v>
      </c>
      <c r="Q666">
        <f t="shared" si="40"/>
        <v>34475</v>
      </c>
      <c r="R666">
        <f t="shared" ca="1" si="41"/>
        <v>50</v>
      </c>
      <c r="S666" s="2">
        <f t="shared" si="42"/>
        <v>-23443</v>
      </c>
      <c r="T666" s="18">
        <v>0.1</v>
      </c>
      <c r="U666">
        <f t="shared" si="43"/>
        <v>-25787.300000000003</v>
      </c>
    </row>
    <row r="667" spans="1:21" x14ac:dyDescent="0.3">
      <c r="A667" t="s">
        <v>1376</v>
      </c>
      <c r="B667" s="1">
        <v>44862</v>
      </c>
      <c r="C667" t="s">
        <v>1377</v>
      </c>
      <c r="D667" s="3" t="s">
        <v>72</v>
      </c>
      <c r="E667" s="2">
        <v>15437</v>
      </c>
      <c r="F667" s="2">
        <v>21.5</v>
      </c>
      <c r="G667" s="4">
        <v>60</v>
      </c>
      <c r="H667" t="s">
        <v>26</v>
      </c>
      <c r="I667" t="s">
        <v>20</v>
      </c>
      <c r="J667" t="s">
        <v>21</v>
      </c>
      <c r="K667" s="2">
        <v>136651</v>
      </c>
      <c r="L667" t="s">
        <v>33</v>
      </c>
      <c r="M667" s="2">
        <v>0.4</v>
      </c>
      <c r="N667" s="2">
        <v>0.69</v>
      </c>
      <c r="O667" s="2">
        <v>4267.6000000000004</v>
      </c>
      <c r="P667" s="2">
        <v>0</v>
      </c>
      <c r="Q667">
        <f t="shared" si="40"/>
        <v>22372.463768115944</v>
      </c>
      <c r="R667">
        <f t="shared" ca="1" si="41"/>
        <v>40</v>
      </c>
      <c r="S667" s="2">
        <f t="shared" si="42"/>
        <v>-11169.4</v>
      </c>
      <c r="T667" s="18">
        <v>0.1</v>
      </c>
      <c r="U667">
        <f t="shared" si="43"/>
        <v>-12286.34</v>
      </c>
    </row>
    <row r="668" spans="1:21" x14ac:dyDescent="0.3">
      <c r="A668" t="s">
        <v>1378</v>
      </c>
      <c r="B668" s="1">
        <v>44722</v>
      </c>
      <c r="C668" t="s">
        <v>1379</v>
      </c>
      <c r="D668" s="3" t="s">
        <v>18</v>
      </c>
      <c r="E668" s="2">
        <v>12207</v>
      </c>
      <c r="F668" s="2">
        <v>19.2</v>
      </c>
      <c r="G668" s="4">
        <v>36</v>
      </c>
      <c r="H668" t="s">
        <v>19</v>
      </c>
      <c r="I668" t="s">
        <v>20</v>
      </c>
      <c r="J668" t="s">
        <v>37</v>
      </c>
      <c r="K668" s="2">
        <v>101128</v>
      </c>
      <c r="L668" t="s">
        <v>29</v>
      </c>
      <c r="M668" s="2">
        <v>0.26</v>
      </c>
      <c r="N668" s="2">
        <v>0.76</v>
      </c>
      <c r="O668" s="2">
        <v>14550.74</v>
      </c>
      <c r="P668" s="2">
        <v>0</v>
      </c>
      <c r="Q668">
        <f t="shared" si="40"/>
        <v>16061.842105263158</v>
      </c>
      <c r="R668">
        <f t="shared" ca="1" si="41"/>
        <v>45</v>
      </c>
      <c r="S668" s="2">
        <f t="shared" si="42"/>
        <v>2343.7399999999998</v>
      </c>
      <c r="T668" s="18">
        <v>0.1</v>
      </c>
      <c r="U668">
        <f t="shared" si="43"/>
        <v>2578.114</v>
      </c>
    </row>
    <row r="669" spans="1:21" x14ac:dyDescent="0.3">
      <c r="A669" t="s">
        <v>1380</v>
      </c>
      <c r="B669" s="1">
        <v>44895</v>
      </c>
      <c r="C669" t="s">
        <v>1381</v>
      </c>
      <c r="D669" s="3" t="s">
        <v>25</v>
      </c>
      <c r="E669" s="2">
        <v>26537</v>
      </c>
      <c r="F669" s="2">
        <v>8.5</v>
      </c>
      <c r="G669" s="4">
        <v>36</v>
      </c>
      <c r="H669" t="s">
        <v>19</v>
      </c>
      <c r="I669" t="s">
        <v>20</v>
      </c>
      <c r="J669" t="s">
        <v>28</v>
      </c>
      <c r="K669" s="2">
        <v>48108</v>
      </c>
      <c r="L669" t="s">
        <v>22</v>
      </c>
      <c r="M669" s="2">
        <v>0.18</v>
      </c>
      <c r="N669" s="2">
        <v>0.5</v>
      </c>
      <c r="O669" s="2">
        <v>28792.639999999999</v>
      </c>
      <c r="P669" s="2">
        <v>0</v>
      </c>
      <c r="Q669">
        <f t="shared" si="40"/>
        <v>53074</v>
      </c>
      <c r="R669">
        <f t="shared" ca="1" si="41"/>
        <v>39</v>
      </c>
      <c r="S669" s="2">
        <f t="shared" si="42"/>
        <v>2255.6399999999994</v>
      </c>
      <c r="T669" s="18">
        <v>0.1</v>
      </c>
      <c r="U669">
        <f t="shared" si="43"/>
        <v>2481.2039999999997</v>
      </c>
    </row>
    <row r="670" spans="1:21" x14ac:dyDescent="0.3">
      <c r="A670" t="s">
        <v>1382</v>
      </c>
      <c r="B670" s="1">
        <v>45079</v>
      </c>
      <c r="C670" t="s">
        <v>1383</v>
      </c>
      <c r="D670" s="3" t="s">
        <v>53</v>
      </c>
      <c r="E670" s="2">
        <v>36757</v>
      </c>
      <c r="F670" s="2">
        <v>15.1</v>
      </c>
      <c r="G670" s="4">
        <v>36</v>
      </c>
      <c r="H670" t="s">
        <v>81</v>
      </c>
      <c r="I670" t="s">
        <v>27</v>
      </c>
      <c r="J670" t="s">
        <v>47</v>
      </c>
      <c r="K670" s="2">
        <v>82495</v>
      </c>
      <c r="L670" t="s">
        <v>33</v>
      </c>
      <c r="M670" s="2">
        <v>0.31</v>
      </c>
      <c r="N670" s="2">
        <v>0.62</v>
      </c>
      <c r="O670" s="2">
        <v>8800.92</v>
      </c>
      <c r="P670" s="2">
        <v>6346.33</v>
      </c>
      <c r="Q670">
        <f t="shared" si="40"/>
        <v>59285.483870967742</v>
      </c>
      <c r="R670">
        <f t="shared" ca="1" si="41"/>
        <v>33</v>
      </c>
      <c r="S670" s="2">
        <f t="shared" si="42"/>
        <v>-21609.75</v>
      </c>
      <c r="T670" s="18">
        <v>0.1</v>
      </c>
      <c r="U670">
        <f t="shared" si="43"/>
        <v>-23770.725000000002</v>
      </c>
    </row>
    <row r="671" spans="1:21" x14ac:dyDescent="0.3">
      <c r="A671" t="s">
        <v>1384</v>
      </c>
      <c r="B671" s="1">
        <v>45227</v>
      </c>
      <c r="C671" t="s">
        <v>1385</v>
      </c>
      <c r="D671" s="3" t="s">
        <v>65</v>
      </c>
      <c r="E671" s="2">
        <v>13040</v>
      </c>
      <c r="F671" s="2">
        <v>18.5</v>
      </c>
      <c r="G671" s="4">
        <v>36</v>
      </c>
      <c r="H671" t="s">
        <v>19</v>
      </c>
      <c r="I671" t="s">
        <v>84</v>
      </c>
      <c r="J671" t="s">
        <v>28</v>
      </c>
      <c r="K671" s="2">
        <v>112806</v>
      </c>
      <c r="L671" t="s">
        <v>33</v>
      </c>
      <c r="M671" s="2">
        <v>0.15</v>
      </c>
      <c r="N671" s="2">
        <v>0.73</v>
      </c>
      <c r="O671" s="2">
        <v>15452.4</v>
      </c>
      <c r="P671" s="2">
        <v>0</v>
      </c>
      <c r="Q671">
        <f t="shared" si="40"/>
        <v>17863.013698630137</v>
      </c>
      <c r="R671">
        <f t="shared" ca="1" si="41"/>
        <v>28</v>
      </c>
      <c r="S671" s="2">
        <f t="shared" si="42"/>
        <v>2412.3999999999996</v>
      </c>
      <c r="T671" s="18">
        <v>0.1</v>
      </c>
      <c r="U671">
        <f t="shared" si="43"/>
        <v>2653.64</v>
      </c>
    </row>
    <row r="672" spans="1:21" x14ac:dyDescent="0.3">
      <c r="A672" t="s">
        <v>1386</v>
      </c>
      <c r="B672" s="1">
        <v>45223</v>
      </c>
      <c r="C672" t="s">
        <v>1387</v>
      </c>
      <c r="D672" s="3" t="s">
        <v>46</v>
      </c>
      <c r="E672" s="2">
        <v>23612</v>
      </c>
      <c r="F672" s="2">
        <v>9.6999999999999993</v>
      </c>
      <c r="G672" s="4">
        <v>36</v>
      </c>
      <c r="H672" t="s">
        <v>26</v>
      </c>
      <c r="I672" t="s">
        <v>84</v>
      </c>
      <c r="J672" t="s">
        <v>32</v>
      </c>
      <c r="K672" s="2">
        <v>123185</v>
      </c>
      <c r="L672" t="s">
        <v>22</v>
      </c>
      <c r="M672" s="2">
        <v>0.28000000000000003</v>
      </c>
      <c r="N672" s="2">
        <v>0.82</v>
      </c>
      <c r="O672" s="2">
        <v>11779.58</v>
      </c>
      <c r="P672" s="2">
        <v>0</v>
      </c>
      <c r="Q672">
        <f t="shared" si="40"/>
        <v>28795.121951219513</v>
      </c>
      <c r="R672">
        <f t="shared" ca="1" si="41"/>
        <v>28</v>
      </c>
      <c r="S672" s="2">
        <f t="shared" si="42"/>
        <v>-11832.42</v>
      </c>
      <c r="T672" s="18">
        <v>0.1</v>
      </c>
      <c r="U672">
        <f t="shared" si="43"/>
        <v>-13015.662</v>
      </c>
    </row>
    <row r="673" spans="1:21" x14ac:dyDescent="0.3">
      <c r="A673" t="s">
        <v>1388</v>
      </c>
      <c r="B673" s="1">
        <v>45115</v>
      </c>
      <c r="C673" t="s">
        <v>1389</v>
      </c>
      <c r="D673" s="3" t="s">
        <v>18</v>
      </c>
      <c r="E673" s="2">
        <v>29441</v>
      </c>
      <c r="F673" s="2">
        <v>21.6</v>
      </c>
      <c r="G673" s="4">
        <v>60</v>
      </c>
      <c r="H673" t="s">
        <v>81</v>
      </c>
      <c r="I673" t="s">
        <v>20</v>
      </c>
      <c r="J673" t="s">
        <v>47</v>
      </c>
      <c r="K673" s="2">
        <v>106533</v>
      </c>
      <c r="L673" t="s">
        <v>33</v>
      </c>
      <c r="M673" s="2">
        <v>0.23</v>
      </c>
      <c r="N673" s="2">
        <v>0.57999999999999996</v>
      </c>
      <c r="O673" s="2">
        <v>7302.84</v>
      </c>
      <c r="P673" s="2">
        <v>11730.22</v>
      </c>
      <c r="Q673">
        <f t="shared" si="40"/>
        <v>50760.34482758621</v>
      </c>
      <c r="R673">
        <f t="shared" ca="1" si="41"/>
        <v>32</v>
      </c>
      <c r="S673" s="2">
        <f t="shared" si="42"/>
        <v>-10407.940000000002</v>
      </c>
      <c r="T673" s="18">
        <v>0.1</v>
      </c>
      <c r="U673">
        <f t="shared" si="43"/>
        <v>-11448.734000000004</v>
      </c>
    </row>
    <row r="674" spans="1:21" x14ac:dyDescent="0.3">
      <c r="A674" t="s">
        <v>1390</v>
      </c>
      <c r="B674" s="1">
        <v>44946</v>
      </c>
      <c r="C674" t="s">
        <v>1391</v>
      </c>
      <c r="D674" s="3" t="s">
        <v>18</v>
      </c>
      <c r="E674" s="2">
        <v>7471</v>
      </c>
      <c r="F674" s="2">
        <v>15.9</v>
      </c>
      <c r="G674" s="4">
        <v>60</v>
      </c>
      <c r="H674" t="s">
        <v>81</v>
      </c>
      <c r="I674" t="s">
        <v>36</v>
      </c>
      <c r="J674" t="s">
        <v>21</v>
      </c>
      <c r="K674" s="2">
        <v>129025</v>
      </c>
      <c r="L674" t="s">
        <v>33</v>
      </c>
      <c r="M674" s="2">
        <v>0.46</v>
      </c>
      <c r="N674" s="2">
        <v>0.75</v>
      </c>
      <c r="O674" s="2">
        <v>1146.94</v>
      </c>
      <c r="P674" s="2">
        <v>2846.42</v>
      </c>
      <c r="Q674">
        <f t="shared" si="40"/>
        <v>9961.3333333333339</v>
      </c>
      <c r="R674">
        <f t="shared" ca="1" si="41"/>
        <v>37</v>
      </c>
      <c r="S674" s="2">
        <f t="shared" si="42"/>
        <v>-3477.64</v>
      </c>
      <c r="T674" s="18">
        <v>0.1</v>
      </c>
      <c r="U674">
        <f t="shared" si="43"/>
        <v>-3825.404</v>
      </c>
    </row>
    <row r="675" spans="1:21" x14ac:dyDescent="0.3">
      <c r="A675" t="s">
        <v>1392</v>
      </c>
      <c r="B675" s="1">
        <v>44559</v>
      </c>
      <c r="C675" t="s">
        <v>1393</v>
      </c>
      <c r="D675" s="3" t="s">
        <v>18</v>
      </c>
      <c r="E675" s="2">
        <v>36631</v>
      </c>
      <c r="F675" s="2">
        <v>8.3000000000000007</v>
      </c>
      <c r="G675" s="4">
        <v>36</v>
      </c>
      <c r="H675" t="s">
        <v>81</v>
      </c>
      <c r="I675" t="s">
        <v>27</v>
      </c>
      <c r="J675" t="s">
        <v>32</v>
      </c>
      <c r="K675" s="2">
        <v>86830</v>
      </c>
      <c r="L675" t="s">
        <v>29</v>
      </c>
      <c r="M675" s="2">
        <v>0.12</v>
      </c>
      <c r="N675" s="2">
        <v>0.82</v>
      </c>
      <c r="O675" s="2">
        <v>9301.3700000000008</v>
      </c>
      <c r="P675" s="2">
        <v>10217.73</v>
      </c>
      <c r="Q675">
        <f t="shared" si="40"/>
        <v>44671.951219512201</v>
      </c>
      <c r="R675">
        <f t="shared" ca="1" si="41"/>
        <v>50</v>
      </c>
      <c r="S675" s="2">
        <f t="shared" si="42"/>
        <v>-17111.900000000001</v>
      </c>
      <c r="T675" s="18">
        <v>0.1</v>
      </c>
      <c r="U675">
        <f t="shared" si="43"/>
        <v>-18823.090000000004</v>
      </c>
    </row>
    <row r="676" spans="1:21" x14ac:dyDescent="0.3">
      <c r="A676" t="s">
        <v>1394</v>
      </c>
      <c r="B676" s="1">
        <v>45002</v>
      </c>
      <c r="C676" t="s">
        <v>1395</v>
      </c>
      <c r="D676" s="3" t="s">
        <v>18</v>
      </c>
      <c r="E676" s="2">
        <v>27523</v>
      </c>
      <c r="F676" s="2">
        <v>16.7</v>
      </c>
      <c r="G676" s="4">
        <v>60</v>
      </c>
      <c r="H676" t="s">
        <v>26</v>
      </c>
      <c r="I676" t="s">
        <v>36</v>
      </c>
      <c r="J676" t="s">
        <v>37</v>
      </c>
      <c r="K676" s="2">
        <v>104640</v>
      </c>
      <c r="L676" t="s">
        <v>33</v>
      </c>
      <c r="M676" s="2">
        <v>0.38</v>
      </c>
      <c r="N676" s="2">
        <v>0.7</v>
      </c>
      <c r="O676" s="2">
        <v>11458.03</v>
      </c>
      <c r="P676" s="2">
        <v>0</v>
      </c>
      <c r="Q676">
        <f t="shared" si="40"/>
        <v>39318.571428571428</v>
      </c>
      <c r="R676">
        <f t="shared" ca="1" si="41"/>
        <v>36</v>
      </c>
      <c r="S676" s="2">
        <f t="shared" si="42"/>
        <v>-16064.97</v>
      </c>
      <c r="T676" s="18">
        <v>0.1</v>
      </c>
      <c r="U676">
        <f t="shared" si="43"/>
        <v>-17671.467000000001</v>
      </c>
    </row>
    <row r="677" spans="1:21" x14ac:dyDescent="0.3">
      <c r="A677" t="s">
        <v>1396</v>
      </c>
      <c r="B677" s="1">
        <v>44935</v>
      </c>
      <c r="C677" t="s">
        <v>1397</v>
      </c>
      <c r="D677" s="3" t="s">
        <v>46</v>
      </c>
      <c r="E677" s="2">
        <v>32348</v>
      </c>
      <c r="F677" s="2">
        <v>25</v>
      </c>
      <c r="G677" s="4">
        <v>36</v>
      </c>
      <c r="H677" t="s">
        <v>19</v>
      </c>
      <c r="I677" t="s">
        <v>57</v>
      </c>
      <c r="J677" t="s">
        <v>28</v>
      </c>
      <c r="K677" s="2">
        <v>82509</v>
      </c>
      <c r="L677" t="s">
        <v>22</v>
      </c>
      <c r="M677" s="2">
        <v>0.17</v>
      </c>
      <c r="N677" s="2">
        <v>0.51</v>
      </c>
      <c r="O677" s="2">
        <v>40435</v>
      </c>
      <c r="P677" s="2">
        <v>0</v>
      </c>
      <c r="Q677">
        <f t="shared" si="40"/>
        <v>63427.450980392154</v>
      </c>
      <c r="R677">
        <f t="shared" ca="1" si="41"/>
        <v>38</v>
      </c>
      <c r="S677" s="2">
        <f t="shared" si="42"/>
        <v>8087</v>
      </c>
      <c r="T677" s="18">
        <v>0.1</v>
      </c>
      <c r="U677">
        <f t="shared" si="43"/>
        <v>8895.7000000000007</v>
      </c>
    </row>
    <row r="678" spans="1:21" x14ac:dyDescent="0.3">
      <c r="A678" t="s">
        <v>1398</v>
      </c>
      <c r="B678" s="1">
        <v>45235</v>
      </c>
      <c r="C678" t="s">
        <v>1399</v>
      </c>
      <c r="D678" s="3" t="s">
        <v>46</v>
      </c>
      <c r="E678" s="2">
        <v>2177</v>
      </c>
      <c r="F678" s="2">
        <v>8</v>
      </c>
      <c r="G678" s="4">
        <v>36</v>
      </c>
      <c r="H678" t="s">
        <v>60</v>
      </c>
      <c r="I678" t="s">
        <v>57</v>
      </c>
      <c r="J678" t="s">
        <v>47</v>
      </c>
      <c r="K678" s="2">
        <v>96406</v>
      </c>
      <c r="L678" t="s">
        <v>29</v>
      </c>
      <c r="M678" s="2">
        <v>0.23</v>
      </c>
      <c r="N678" s="2">
        <v>0.7</v>
      </c>
      <c r="O678" s="2">
        <v>0</v>
      </c>
      <c r="P678" s="2">
        <v>0</v>
      </c>
      <c r="Q678">
        <f t="shared" si="40"/>
        <v>3110</v>
      </c>
      <c r="R678">
        <f t="shared" ca="1" si="41"/>
        <v>28</v>
      </c>
      <c r="S678" s="2">
        <f t="shared" si="42"/>
        <v>-2177</v>
      </c>
      <c r="T678" s="18">
        <v>0.1</v>
      </c>
      <c r="U678">
        <f t="shared" si="43"/>
        <v>-2394.7000000000003</v>
      </c>
    </row>
    <row r="679" spans="1:21" x14ac:dyDescent="0.3">
      <c r="A679" t="s">
        <v>1400</v>
      </c>
      <c r="B679" s="1">
        <v>44681</v>
      </c>
      <c r="C679" t="s">
        <v>1401</v>
      </c>
      <c r="D679" s="3" t="s">
        <v>53</v>
      </c>
      <c r="E679" s="2">
        <v>5760</v>
      </c>
      <c r="F679" s="2">
        <v>21.3</v>
      </c>
      <c r="G679" s="4">
        <v>36</v>
      </c>
      <c r="H679" t="s">
        <v>19</v>
      </c>
      <c r="I679" t="s">
        <v>84</v>
      </c>
      <c r="J679" t="s">
        <v>32</v>
      </c>
      <c r="K679" s="2">
        <v>124220</v>
      </c>
      <c r="L679" t="s">
        <v>22</v>
      </c>
      <c r="M679" s="2">
        <v>0.27</v>
      </c>
      <c r="N679" s="2">
        <v>0.63</v>
      </c>
      <c r="O679" s="2">
        <v>6986.88</v>
      </c>
      <c r="P679" s="2">
        <v>0</v>
      </c>
      <c r="Q679">
        <f t="shared" si="40"/>
        <v>9142.8571428571431</v>
      </c>
      <c r="R679">
        <f t="shared" ca="1" si="41"/>
        <v>46</v>
      </c>
      <c r="S679" s="2">
        <f t="shared" si="42"/>
        <v>1226.8800000000001</v>
      </c>
      <c r="T679" s="18">
        <v>0.1</v>
      </c>
      <c r="U679">
        <f t="shared" si="43"/>
        <v>1349.5680000000002</v>
      </c>
    </row>
    <row r="680" spans="1:21" x14ac:dyDescent="0.3">
      <c r="A680" t="s">
        <v>1402</v>
      </c>
      <c r="B680" s="1">
        <v>44224</v>
      </c>
      <c r="C680" t="s">
        <v>1403</v>
      </c>
      <c r="D680" s="3" t="s">
        <v>50</v>
      </c>
      <c r="E680" s="2">
        <v>33779</v>
      </c>
      <c r="F680" s="2">
        <v>9.1</v>
      </c>
      <c r="G680" s="4">
        <v>60</v>
      </c>
      <c r="H680" t="s">
        <v>19</v>
      </c>
      <c r="I680" t="s">
        <v>20</v>
      </c>
      <c r="J680" t="s">
        <v>32</v>
      </c>
      <c r="K680" s="2">
        <v>69519</v>
      </c>
      <c r="L680" t="s">
        <v>33</v>
      </c>
      <c r="M680" s="2">
        <v>0.46</v>
      </c>
      <c r="N680" s="2">
        <v>0.92</v>
      </c>
      <c r="O680" s="2">
        <v>36852.89</v>
      </c>
      <c r="P680" s="2">
        <v>0</v>
      </c>
      <c r="Q680">
        <f t="shared" si="40"/>
        <v>36716.304347826088</v>
      </c>
      <c r="R680">
        <f t="shared" ca="1" si="41"/>
        <v>61</v>
      </c>
      <c r="S680" s="2">
        <f t="shared" si="42"/>
        <v>3073.8899999999994</v>
      </c>
      <c r="T680" s="18">
        <v>0.1</v>
      </c>
      <c r="U680">
        <f t="shared" si="43"/>
        <v>3381.2789999999995</v>
      </c>
    </row>
    <row r="681" spans="1:21" x14ac:dyDescent="0.3">
      <c r="A681" t="s">
        <v>1404</v>
      </c>
      <c r="B681" s="1">
        <v>44910</v>
      </c>
      <c r="C681" t="s">
        <v>1405</v>
      </c>
      <c r="D681" s="3" t="s">
        <v>50</v>
      </c>
      <c r="E681" s="2">
        <v>22636</v>
      </c>
      <c r="F681" s="2">
        <v>20.6</v>
      </c>
      <c r="G681" s="4">
        <v>36</v>
      </c>
      <c r="H681" t="s">
        <v>26</v>
      </c>
      <c r="I681" t="s">
        <v>73</v>
      </c>
      <c r="J681" t="s">
        <v>47</v>
      </c>
      <c r="K681" s="2">
        <v>79649</v>
      </c>
      <c r="L681" t="s">
        <v>29</v>
      </c>
      <c r="M681" s="2">
        <v>0.2</v>
      </c>
      <c r="N681" s="2">
        <v>0.56000000000000005</v>
      </c>
      <c r="O681" s="2">
        <v>9045.0499999999993</v>
      </c>
      <c r="P681" s="2">
        <v>0</v>
      </c>
      <c r="Q681">
        <f t="shared" si="40"/>
        <v>40421.428571428565</v>
      </c>
      <c r="R681">
        <f t="shared" ca="1" si="41"/>
        <v>39</v>
      </c>
      <c r="S681" s="2">
        <f t="shared" si="42"/>
        <v>-13590.95</v>
      </c>
      <c r="T681" s="18">
        <v>0.1</v>
      </c>
      <c r="U681">
        <f t="shared" si="43"/>
        <v>-14950.045000000002</v>
      </c>
    </row>
    <row r="682" spans="1:21" x14ac:dyDescent="0.3">
      <c r="A682" t="s">
        <v>1406</v>
      </c>
      <c r="B682" s="1">
        <v>45259</v>
      </c>
      <c r="C682" t="s">
        <v>1407</v>
      </c>
      <c r="D682" s="3" t="s">
        <v>76</v>
      </c>
      <c r="E682" s="2">
        <v>17353</v>
      </c>
      <c r="F682" s="2">
        <v>19.7</v>
      </c>
      <c r="G682" s="4">
        <v>36</v>
      </c>
      <c r="H682" t="s">
        <v>26</v>
      </c>
      <c r="I682" t="s">
        <v>84</v>
      </c>
      <c r="J682" t="s">
        <v>37</v>
      </c>
      <c r="K682" s="2">
        <v>64524</v>
      </c>
      <c r="L682" t="s">
        <v>29</v>
      </c>
      <c r="M682" s="2">
        <v>0.14000000000000001</v>
      </c>
      <c r="N682" s="2">
        <v>0.79</v>
      </c>
      <c r="O682" s="2">
        <v>7025.57</v>
      </c>
      <c r="P682" s="2">
        <v>0</v>
      </c>
      <c r="Q682">
        <f t="shared" si="40"/>
        <v>21965.822784810127</v>
      </c>
      <c r="R682">
        <f t="shared" ca="1" si="41"/>
        <v>27</v>
      </c>
      <c r="S682" s="2">
        <f t="shared" si="42"/>
        <v>-10327.43</v>
      </c>
      <c r="T682" s="18">
        <v>0.1</v>
      </c>
      <c r="U682">
        <f t="shared" si="43"/>
        <v>-11360.173000000001</v>
      </c>
    </row>
    <row r="683" spans="1:21" x14ac:dyDescent="0.3">
      <c r="A683" t="s">
        <v>1408</v>
      </c>
      <c r="B683" s="1">
        <v>44282</v>
      </c>
      <c r="C683" t="s">
        <v>1409</v>
      </c>
      <c r="D683" s="3" t="s">
        <v>18</v>
      </c>
      <c r="E683" s="2">
        <v>12556</v>
      </c>
      <c r="F683" s="2">
        <v>11</v>
      </c>
      <c r="G683" s="4">
        <v>60</v>
      </c>
      <c r="H683" t="s">
        <v>81</v>
      </c>
      <c r="I683" t="s">
        <v>84</v>
      </c>
      <c r="J683" t="s">
        <v>37</v>
      </c>
      <c r="K683" s="2">
        <v>126493</v>
      </c>
      <c r="L683" t="s">
        <v>29</v>
      </c>
      <c r="M683" s="2">
        <v>0.23</v>
      </c>
      <c r="N683" s="2">
        <v>0.52</v>
      </c>
      <c r="O683" s="2">
        <v>3922.58</v>
      </c>
      <c r="P683" s="2">
        <v>3494.67</v>
      </c>
      <c r="Q683">
        <f t="shared" si="40"/>
        <v>24146.153846153844</v>
      </c>
      <c r="R683">
        <f t="shared" ca="1" si="41"/>
        <v>59</v>
      </c>
      <c r="S683" s="2">
        <f t="shared" si="42"/>
        <v>-5138.75</v>
      </c>
      <c r="T683" s="18">
        <v>0.1</v>
      </c>
      <c r="U683">
        <f t="shared" si="43"/>
        <v>-5652.6250000000009</v>
      </c>
    </row>
    <row r="684" spans="1:21" x14ac:dyDescent="0.3">
      <c r="A684" t="s">
        <v>1410</v>
      </c>
      <c r="B684" s="1">
        <v>44322</v>
      </c>
      <c r="C684" t="s">
        <v>1411</v>
      </c>
      <c r="D684" s="3" t="s">
        <v>18</v>
      </c>
      <c r="E684" s="2">
        <v>28598</v>
      </c>
      <c r="F684" s="2">
        <v>11.5</v>
      </c>
      <c r="G684" s="4">
        <v>60</v>
      </c>
      <c r="H684" t="s">
        <v>26</v>
      </c>
      <c r="I684" t="s">
        <v>36</v>
      </c>
      <c r="J684" t="s">
        <v>21</v>
      </c>
      <c r="K684" s="2">
        <v>63885</v>
      </c>
      <c r="L684" t="s">
        <v>29</v>
      </c>
      <c r="M684" s="2">
        <v>0.14000000000000001</v>
      </c>
      <c r="N684" s="2">
        <v>0.7</v>
      </c>
      <c r="O684" s="2">
        <v>4701.45</v>
      </c>
      <c r="P684" s="2">
        <v>0</v>
      </c>
      <c r="Q684">
        <f t="shared" si="40"/>
        <v>40854.285714285717</v>
      </c>
      <c r="R684">
        <f t="shared" ca="1" si="41"/>
        <v>58</v>
      </c>
      <c r="S684" s="2">
        <f t="shared" si="42"/>
        <v>-23896.55</v>
      </c>
      <c r="T684" s="18">
        <v>0.1</v>
      </c>
      <c r="U684">
        <f t="shared" si="43"/>
        <v>-26286.205000000002</v>
      </c>
    </row>
    <row r="685" spans="1:21" x14ac:dyDescent="0.3">
      <c r="A685" t="s">
        <v>1412</v>
      </c>
      <c r="B685" s="1">
        <v>45008</v>
      </c>
      <c r="C685" t="s">
        <v>1413</v>
      </c>
      <c r="D685" s="3" t="s">
        <v>72</v>
      </c>
      <c r="E685" s="2">
        <v>12563</v>
      </c>
      <c r="F685" s="2">
        <v>20.9</v>
      </c>
      <c r="G685" s="4">
        <v>60</v>
      </c>
      <c r="H685" t="s">
        <v>19</v>
      </c>
      <c r="I685" t="s">
        <v>27</v>
      </c>
      <c r="J685" t="s">
        <v>37</v>
      </c>
      <c r="K685" s="2">
        <v>74369</v>
      </c>
      <c r="L685" t="s">
        <v>22</v>
      </c>
      <c r="M685" s="2">
        <v>0.15</v>
      </c>
      <c r="N685" s="2">
        <v>0.75</v>
      </c>
      <c r="O685" s="2">
        <v>15188.67</v>
      </c>
      <c r="P685" s="2">
        <v>0</v>
      </c>
      <c r="Q685">
        <f t="shared" si="40"/>
        <v>16750.666666666668</v>
      </c>
      <c r="R685">
        <f t="shared" ca="1" si="41"/>
        <v>35</v>
      </c>
      <c r="S685" s="2">
        <f t="shared" si="42"/>
        <v>2625.67</v>
      </c>
      <c r="T685" s="18">
        <v>0.1</v>
      </c>
      <c r="U685">
        <f t="shared" si="43"/>
        <v>2888.2370000000005</v>
      </c>
    </row>
    <row r="686" spans="1:21" x14ac:dyDescent="0.3">
      <c r="A686" t="s">
        <v>1414</v>
      </c>
      <c r="B686" s="1">
        <v>44733</v>
      </c>
      <c r="C686" t="s">
        <v>1415</v>
      </c>
      <c r="D686" s="3" t="s">
        <v>50</v>
      </c>
      <c r="E686" s="2">
        <v>9234</v>
      </c>
      <c r="F686" s="2">
        <v>14.2</v>
      </c>
      <c r="G686" s="4">
        <v>36</v>
      </c>
      <c r="H686" t="s">
        <v>60</v>
      </c>
      <c r="I686" t="s">
        <v>20</v>
      </c>
      <c r="J686" t="s">
        <v>21</v>
      </c>
      <c r="K686" s="2">
        <v>131132</v>
      </c>
      <c r="L686" t="s">
        <v>33</v>
      </c>
      <c r="M686" s="2">
        <v>0.33</v>
      </c>
      <c r="N686" s="2">
        <v>0.63</v>
      </c>
      <c r="O686" s="2">
        <v>0</v>
      </c>
      <c r="P686" s="2">
        <v>0</v>
      </c>
      <c r="Q686">
        <f t="shared" si="40"/>
        <v>14657.142857142857</v>
      </c>
      <c r="R686">
        <f t="shared" ca="1" si="41"/>
        <v>44</v>
      </c>
      <c r="S686" s="2">
        <f t="shared" si="42"/>
        <v>-9234</v>
      </c>
      <c r="T686" s="18">
        <v>0.1</v>
      </c>
      <c r="U686">
        <f t="shared" si="43"/>
        <v>-10157.400000000001</v>
      </c>
    </row>
    <row r="687" spans="1:21" x14ac:dyDescent="0.3">
      <c r="A687" t="s">
        <v>1416</v>
      </c>
      <c r="B687" s="1">
        <v>44341</v>
      </c>
      <c r="C687" t="s">
        <v>1417</v>
      </c>
      <c r="D687" s="3" t="s">
        <v>53</v>
      </c>
      <c r="E687" s="2">
        <v>26519</v>
      </c>
      <c r="F687" s="2">
        <v>19.600000000000001</v>
      </c>
      <c r="G687" s="4">
        <v>36</v>
      </c>
      <c r="H687" t="s">
        <v>26</v>
      </c>
      <c r="I687" t="s">
        <v>20</v>
      </c>
      <c r="J687" t="s">
        <v>32</v>
      </c>
      <c r="K687" s="2">
        <v>125402</v>
      </c>
      <c r="L687" t="s">
        <v>33</v>
      </c>
      <c r="M687" s="2">
        <v>0.12</v>
      </c>
      <c r="N687" s="2">
        <v>0.7</v>
      </c>
      <c r="O687" s="2">
        <v>11613.67</v>
      </c>
      <c r="P687" s="2">
        <v>0</v>
      </c>
      <c r="Q687">
        <f t="shared" si="40"/>
        <v>37884.285714285717</v>
      </c>
      <c r="R687">
        <f t="shared" ca="1" si="41"/>
        <v>57</v>
      </c>
      <c r="S687" s="2">
        <f t="shared" si="42"/>
        <v>-14905.33</v>
      </c>
      <c r="T687" s="18">
        <v>0.1</v>
      </c>
      <c r="U687">
        <f t="shared" si="43"/>
        <v>-16395.863000000001</v>
      </c>
    </row>
    <row r="688" spans="1:21" x14ac:dyDescent="0.3">
      <c r="A688" t="s">
        <v>1418</v>
      </c>
      <c r="B688" s="1">
        <v>44221</v>
      </c>
      <c r="C688" t="s">
        <v>1419</v>
      </c>
      <c r="D688" s="3" t="s">
        <v>65</v>
      </c>
      <c r="E688" s="2">
        <v>27966</v>
      </c>
      <c r="F688" s="2">
        <v>8</v>
      </c>
      <c r="G688" s="4">
        <v>60</v>
      </c>
      <c r="H688" t="s">
        <v>26</v>
      </c>
      <c r="I688" t="s">
        <v>73</v>
      </c>
      <c r="J688" t="s">
        <v>47</v>
      </c>
      <c r="K688" s="2">
        <v>60676</v>
      </c>
      <c r="L688" t="s">
        <v>29</v>
      </c>
      <c r="M688" s="2">
        <v>0.11</v>
      </c>
      <c r="N688" s="2">
        <v>0.56999999999999995</v>
      </c>
      <c r="O688" s="2">
        <v>12642.02</v>
      </c>
      <c r="P688" s="2">
        <v>0</v>
      </c>
      <c r="Q688">
        <f t="shared" si="40"/>
        <v>49063.157894736847</v>
      </c>
      <c r="R688">
        <f t="shared" ca="1" si="41"/>
        <v>61</v>
      </c>
      <c r="S688" s="2">
        <f t="shared" si="42"/>
        <v>-15323.98</v>
      </c>
      <c r="T688" s="18">
        <v>0.1</v>
      </c>
      <c r="U688">
        <f t="shared" si="43"/>
        <v>-16856.378000000001</v>
      </c>
    </row>
    <row r="689" spans="1:21" x14ac:dyDescent="0.3">
      <c r="A689" t="s">
        <v>1420</v>
      </c>
      <c r="B689" s="1">
        <v>44263</v>
      </c>
      <c r="C689" t="s">
        <v>1421</v>
      </c>
      <c r="D689" s="3" t="s">
        <v>76</v>
      </c>
      <c r="E689" s="2">
        <v>17173</v>
      </c>
      <c r="F689" s="2">
        <v>22.1</v>
      </c>
      <c r="G689" s="4">
        <v>36</v>
      </c>
      <c r="H689" t="s">
        <v>19</v>
      </c>
      <c r="I689" t="s">
        <v>73</v>
      </c>
      <c r="J689" t="s">
        <v>37</v>
      </c>
      <c r="K689" s="2">
        <v>94093</v>
      </c>
      <c r="L689" t="s">
        <v>33</v>
      </c>
      <c r="M689" s="2">
        <v>0.39</v>
      </c>
      <c r="N689" s="2">
        <v>0.64</v>
      </c>
      <c r="O689" s="2">
        <v>20968.23</v>
      </c>
      <c r="P689" s="2">
        <v>0</v>
      </c>
      <c r="Q689">
        <f t="shared" si="40"/>
        <v>26832.8125</v>
      </c>
      <c r="R689">
        <f t="shared" ca="1" si="41"/>
        <v>60</v>
      </c>
      <c r="S689" s="2">
        <f t="shared" si="42"/>
        <v>3795.2299999999996</v>
      </c>
      <c r="T689" s="18">
        <v>0.1</v>
      </c>
      <c r="U689">
        <f t="shared" si="43"/>
        <v>4174.7529999999997</v>
      </c>
    </row>
    <row r="690" spans="1:21" x14ac:dyDescent="0.3">
      <c r="A690" t="s">
        <v>1422</v>
      </c>
      <c r="B690" s="1">
        <v>44429</v>
      </c>
      <c r="C690" t="s">
        <v>1423</v>
      </c>
      <c r="D690" s="3" t="s">
        <v>76</v>
      </c>
      <c r="E690" s="2">
        <v>27987</v>
      </c>
      <c r="F690" s="2">
        <v>19.2</v>
      </c>
      <c r="G690" s="4">
        <v>60</v>
      </c>
      <c r="H690" t="s">
        <v>19</v>
      </c>
      <c r="I690" t="s">
        <v>20</v>
      </c>
      <c r="J690" t="s">
        <v>21</v>
      </c>
      <c r="K690" s="2">
        <v>77764</v>
      </c>
      <c r="L690" t="s">
        <v>22</v>
      </c>
      <c r="M690" s="2">
        <v>0.24</v>
      </c>
      <c r="N690" s="2">
        <v>0.78</v>
      </c>
      <c r="O690" s="2">
        <v>33360.5</v>
      </c>
      <c r="P690" s="2">
        <v>0</v>
      </c>
      <c r="Q690">
        <f t="shared" si="40"/>
        <v>35880.769230769227</v>
      </c>
      <c r="R690">
        <f t="shared" ca="1" si="41"/>
        <v>54</v>
      </c>
      <c r="S690" s="2">
        <f t="shared" si="42"/>
        <v>5373.5</v>
      </c>
      <c r="T690" s="18">
        <v>0.1</v>
      </c>
      <c r="U690">
        <f t="shared" si="43"/>
        <v>5910.85</v>
      </c>
    </row>
    <row r="691" spans="1:21" x14ac:dyDescent="0.3">
      <c r="A691" t="s">
        <v>1424</v>
      </c>
      <c r="B691" s="1">
        <v>44305</v>
      </c>
      <c r="C691" t="s">
        <v>1425</v>
      </c>
      <c r="D691" s="3" t="s">
        <v>53</v>
      </c>
      <c r="E691" s="2">
        <v>14178</v>
      </c>
      <c r="F691" s="2">
        <v>23.1</v>
      </c>
      <c r="G691" s="4">
        <v>60</v>
      </c>
      <c r="H691" t="s">
        <v>26</v>
      </c>
      <c r="I691" t="s">
        <v>20</v>
      </c>
      <c r="J691" t="s">
        <v>32</v>
      </c>
      <c r="K691" s="2">
        <v>80799</v>
      </c>
      <c r="L691" t="s">
        <v>33</v>
      </c>
      <c r="M691" s="2">
        <v>0.15</v>
      </c>
      <c r="N691" s="2">
        <v>0.64</v>
      </c>
      <c r="O691" s="2">
        <v>1947.61</v>
      </c>
      <c r="P691" s="2">
        <v>0</v>
      </c>
      <c r="Q691">
        <f t="shared" si="40"/>
        <v>22153.125</v>
      </c>
      <c r="R691">
        <f t="shared" ca="1" si="41"/>
        <v>59</v>
      </c>
      <c r="S691" s="2">
        <f t="shared" si="42"/>
        <v>-12230.39</v>
      </c>
      <c r="T691" s="18">
        <v>0.1</v>
      </c>
      <c r="U691">
        <f t="shared" si="43"/>
        <v>-13453.429</v>
      </c>
    </row>
    <row r="692" spans="1:21" x14ac:dyDescent="0.3">
      <c r="A692" t="s">
        <v>1426</v>
      </c>
      <c r="B692" s="1">
        <v>44307</v>
      </c>
      <c r="C692" t="s">
        <v>1427</v>
      </c>
      <c r="D692" s="3" t="s">
        <v>65</v>
      </c>
      <c r="E692" s="2">
        <v>25596</v>
      </c>
      <c r="F692" s="2">
        <v>7.6</v>
      </c>
      <c r="G692" s="4">
        <v>36</v>
      </c>
      <c r="H692" t="s">
        <v>19</v>
      </c>
      <c r="I692" t="s">
        <v>73</v>
      </c>
      <c r="J692" t="s">
        <v>37</v>
      </c>
      <c r="K692" s="2">
        <v>109414</v>
      </c>
      <c r="L692" t="s">
        <v>22</v>
      </c>
      <c r="M692" s="2">
        <v>0.2</v>
      </c>
      <c r="N692" s="2">
        <v>0.9</v>
      </c>
      <c r="O692" s="2">
        <v>27541.3</v>
      </c>
      <c r="P692" s="2">
        <v>0</v>
      </c>
      <c r="Q692">
        <f t="shared" si="40"/>
        <v>28440</v>
      </c>
      <c r="R692">
        <f t="shared" ca="1" si="41"/>
        <v>58</v>
      </c>
      <c r="S692" s="2">
        <f t="shared" si="42"/>
        <v>1945.2999999999993</v>
      </c>
      <c r="T692" s="18">
        <v>0.1</v>
      </c>
      <c r="U692">
        <f t="shared" si="43"/>
        <v>2139.8299999999995</v>
      </c>
    </row>
    <row r="693" spans="1:21" x14ac:dyDescent="0.3">
      <c r="A693" t="s">
        <v>1428</v>
      </c>
      <c r="B693" s="1">
        <v>44424</v>
      </c>
      <c r="C693" t="s">
        <v>1429</v>
      </c>
      <c r="D693" s="3" t="s">
        <v>72</v>
      </c>
      <c r="E693" s="2">
        <v>34174</v>
      </c>
      <c r="F693" s="2">
        <v>16.899999999999999</v>
      </c>
      <c r="G693" s="4">
        <v>36</v>
      </c>
      <c r="H693" t="s">
        <v>19</v>
      </c>
      <c r="I693" t="s">
        <v>27</v>
      </c>
      <c r="J693" t="s">
        <v>28</v>
      </c>
      <c r="K693" s="2">
        <v>135296</v>
      </c>
      <c r="L693" t="s">
        <v>22</v>
      </c>
      <c r="M693" s="2">
        <v>0.36</v>
      </c>
      <c r="N693" s="2">
        <v>0.78</v>
      </c>
      <c r="O693" s="2">
        <v>39949.410000000003</v>
      </c>
      <c r="P693" s="2">
        <v>0</v>
      </c>
      <c r="Q693">
        <f t="shared" si="40"/>
        <v>43812.820512820508</v>
      </c>
      <c r="R693">
        <f t="shared" ca="1" si="41"/>
        <v>55</v>
      </c>
      <c r="S693" s="2">
        <f t="shared" si="42"/>
        <v>5775.4100000000035</v>
      </c>
      <c r="T693" s="18">
        <v>0.1</v>
      </c>
      <c r="U693">
        <f t="shared" si="43"/>
        <v>6352.9510000000046</v>
      </c>
    </row>
    <row r="694" spans="1:21" x14ac:dyDescent="0.3">
      <c r="A694" t="s">
        <v>1430</v>
      </c>
      <c r="B694" s="1">
        <v>44307</v>
      </c>
      <c r="C694" t="s">
        <v>1431</v>
      </c>
      <c r="D694" s="3" t="s">
        <v>46</v>
      </c>
      <c r="E694" s="2">
        <v>5431</v>
      </c>
      <c r="F694" s="2">
        <v>17</v>
      </c>
      <c r="G694" s="4">
        <v>60</v>
      </c>
      <c r="H694" t="s">
        <v>26</v>
      </c>
      <c r="I694" t="s">
        <v>41</v>
      </c>
      <c r="J694" t="s">
        <v>32</v>
      </c>
      <c r="K694" s="2">
        <v>123095</v>
      </c>
      <c r="L694" t="s">
        <v>33</v>
      </c>
      <c r="M694" s="2">
        <v>0.21</v>
      </c>
      <c r="N694" s="2">
        <v>0.7</v>
      </c>
      <c r="O694" s="2">
        <v>590.38</v>
      </c>
      <c r="P694" s="2">
        <v>0</v>
      </c>
      <c r="Q694">
        <f t="shared" si="40"/>
        <v>7758.5714285714294</v>
      </c>
      <c r="R694">
        <f t="shared" ca="1" si="41"/>
        <v>58</v>
      </c>
      <c r="S694" s="2">
        <f t="shared" si="42"/>
        <v>-4840.62</v>
      </c>
      <c r="T694" s="18">
        <v>0.1</v>
      </c>
      <c r="U694">
        <f t="shared" si="43"/>
        <v>-5324.6820000000007</v>
      </c>
    </row>
    <row r="695" spans="1:21" x14ac:dyDescent="0.3">
      <c r="A695" t="s">
        <v>1432</v>
      </c>
      <c r="B695" s="1">
        <v>44230</v>
      </c>
      <c r="C695" t="s">
        <v>1433</v>
      </c>
      <c r="D695" s="3" t="s">
        <v>56</v>
      </c>
      <c r="E695" s="2">
        <v>28764</v>
      </c>
      <c r="F695" s="2">
        <v>12.1</v>
      </c>
      <c r="G695" s="4">
        <v>60</v>
      </c>
      <c r="H695" t="s">
        <v>19</v>
      </c>
      <c r="I695" t="s">
        <v>27</v>
      </c>
      <c r="J695" t="s">
        <v>37</v>
      </c>
      <c r="K695" s="2">
        <v>142082</v>
      </c>
      <c r="L695" t="s">
        <v>22</v>
      </c>
      <c r="M695" s="2">
        <v>0.3</v>
      </c>
      <c r="N695" s="2">
        <v>0.52</v>
      </c>
      <c r="O695" s="2">
        <v>32244.44</v>
      </c>
      <c r="P695" s="2">
        <v>0</v>
      </c>
      <c r="Q695">
        <f t="shared" si="40"/>
        <v>55315.384615384617</v>
      </c>
      <c r="R695">
        <f t="shared" ca="1" si="41"/>
        <v>61</v>
      </c>
      <c r="S695" s="2">
        <f t="shared" si="42"/>
        <v>3480.4399999999987</v>
      </c>
      <c r="T695" s="18">
        <v>0.1</v>
      </c>
      <c r="U695">
        <f t="shared" si="43"/>
        <v>3828.483999999999</v>
      </c>
    </row>
    <row r="696" spans="1:21" x14ac:dyDescent="0.3">
      <c r="A696" t="s">
        <v>1434</v>
      </c>
      <c r="B696" s="1">
        <v>44819</v>
      </c>
      <c r="C696" t="s">
        <v>1435</v>
      </c>
      <c r="D696" s="3" t="s">
        <v>50</v>
      </c>
      <c r="E696" s="2">
        <v>22627</v>
      </c>
      <c r="F696" s="2">
        <v>14.2</v>
      </c>
      <c r="G696" s="4">
        <v>60</v>
      </c>
      <c r="H696" t="s">
        <v>19</v>
      </c>
      <c r="I696" t="s">
        <v>84</v>
      </c>
      <c r="J696" t="s">
        <v>32</v>
      </c>
      <c r="K696" s="2">
        <v>102307</v>
      </c>
      <c r="L696" t="s">
        <v>22</v>
      </c>
      <c r="M696" s="2">
        <v>0.15</v>
      </c>
      <c r="N696" s="2">
        <v>0.72</v>
      </c>
      <c r="O696" s="2">
        <v>25840.03</v>
      </c>
      <c r="P696" s="2">
        <v>0</v>
      </c>
      <c r="Q696">
        <f t="shared" si="40"/>
        <v>31426.388888888891</v>
      </c>
      <c r="R696">
        <f t="shared" ca="1" si="41"/>
        <v>42</v>
      </c>
      <c r="S696" s="2">
        <f t="shared" si="42"/>
        <v>3213.0299999999988</v>
      </c>
      <c r="T696" s="18">
        <v>0.1</v>
      </c>
      <c r="U696">
        <f t="shared" si="43"/>
        <v>3534.3329999999992</v>
      </c>
    </row>
    <row r="697" spans="1:21" x14ac:dyDescent="0.3">
      <c r="A697" t="s">
        <v>1436</v>
      </c>
      <c r="B697" s="1">
        <v>44944</v>
      </c>
      <c r="C697" t="s">
        <v>1437</v>
      </c>
      <c r="D697" s="3" t="s">
        <v>18</v>
      </c>
      <c r="E697" s="2">
        <v>9906</v>
      </c>
      <c r="F697" s="2">
        <v>5.8</v>
      </c>
      <c r="G697" s="4">
        <v>60</v>
      </c>
      <c r="H697" t="s">
        <v>19</v>
      </c>
      <c r="I697" t="s">
        <v>73</v>
      </c>
      <c r="J697" t="s">
        <v>47</v>
      </c>
      <c r="K697" s="2">
        <v>112062</v>
      </c>
      <c r="L697" t="s">
        <v>22</v>
      </c>
      <c r="M697" s="2">
        <v>0.34</v>
      </c>
      <c r="N697" s="2">
        <v>0.84</v>
      </c>
      <c r="O697" s="2">
        <v>10480.549999999999</v>
      </c>
      <c r="P697" s="2">
        <v>0</v>
      </c>
      <c r="Q697">
        <f t="shared" si="40"/>
        <v>11792.857142857143</v>
      </c>
      <c r="R697">
        <f t="shared" ca="1" si="41"/>
        <v>38</v>
      </c>
      <c r="S697" s="2">
        <f t="shared" si="42"/>
        <v>574.54999999999927</v>
      </c>
      <c r="T697" s="18">
        <v>0.1</v>
      </c>
      <c r="U697">
        <f t="shared" si="43"/>
        <v>632.0049999999992</v>
      </c>
    </row>
    <row r="698" spans="1:21" x14ac:dyDescent="0.3">
      <c r="A698" t="s">
        <v>1438</v>
      </c>
      <c r="B698" s="1">
        <v>44791</v>
      </c>
      <c r="C698" t="s">
        <v>1439</v>
      </c>
      <c r="D698" s="3" t="s">
        <v>53</v>
      </c>
      <c r="E698" s="2">
        <v>37914</v>
      </c>
      <c r="F698" s="2">
        <v>19.899999999999999</v>
      </c>
      <c r="G698" s="4">
        <v>36</v>
      </c>
      <c r="H698" t="s">
        <v>19</v>
      </c>
      <c r="I698" t="s">
        <v>41</v>
      </c>
      <c r="J698" t="s">
        <v>47</v>
      </c>
      <c r="K698" s="2">
        <v>125432</v>
      </c>
      <c r="L698" t="s">
        <v>22</v>
      </c>
      <c r="M698" s="2">
        <v>0.23</v>
      </c>
      <c r="N698" s="2">
        <v>0.62</v>
      </c>
      <c r="O698" s="2">
        <v>45458.89</v>
      </c>
      <c r="P698" s="2">
        <v>0</v>
      </c>
      <c r="Q698">
        <f t="shared" si="40"/>
        <v>61151.61290322581</v>
      </c>
      <c r="R698">
        <f t="shared" ca="1" si="41"/>
        <v>43</v>
      </c>
      <c r="S698" s="2">
        <f t="shared" si="42"/>
        <v>7544.8899999999994</v>
      </c>
      <c r="T698" s="18">
        <v>0.1</v>
      </c>
      <c r="U698">
        <f t="shared" si="43"/>
        <v>8299.3790000000008</v>
      </c>
    </row>
    <row r="699" spans="1:21" x14ac:dyDescent="0.3">
      <c r="A699" t="s">
        <v>1440</v>
      </c>
      <c r="B699" s="1">
        <v>44621</v>
      </c>
      <c r="C699" t="s">
        <v>1441</v>
      </c>
      <c r="D699" s="3" t="s">
        <v>50</v>
      </c>
      <c r="E699" s="2">
        <v>14076</v>
      </c>
      <c r="F699" s="2">
        <v>16</v>
      </c>
      <c r="G699" s="4">
        <v>60</v>
      </c>
      <c r="H699" t="s">
        <v>26</v>
      </c>
      <c r="I699" t="s">
        <v>27</v>
      </c>
      <c r="J699" t="s">
        <v>47</v>
      </c>
      <c r="K699" s="2">
        <v>61923</v>
      </c>
      <c r="L699" t="s">
        <v>29</v>
      </c>
      <c r="M699" s="2">
        <v>0.35</v>
      </c>
      <c r="N699" s="2">
        <v>0.86</v>
      </c>
      <c r="O699" s="2">
        <v>6883.48</v>
      </c>
      <c r="P699" s="2">
        <v>0</v>
      </c>
      <c r="Q699">
        <f t="shared" si="40"/>
        <v>16367.441860465116</v>
      </c>
      <c r="R699">
        <f t="shared" ca="1" si="41"/>
        <v>48</v>
      </c>
      <c r="S699" s="2">
        <f t="shared" si="42"/>
        <v>-7192.52</v>
      </c>
      <c r="T699" s="18">
        <v>0.1</v>
      </c>
      <c r="U699">
        <f t="shared" si="43"/>
        <v>-7911.7720000000008</v>
      </c>
    </row>
    <row r="700" spans="1:21" x14ac:dyDescent="0.3">
      <c r="A700" t="s">
        <v>1442</v>
      </c>
      <c r="B700" s="1">
        <v>44809</v>
      </c>
      <c r="C700" t="s">
        <v>1443</v>
      </c>
      <c r="D700" s="3" t="s">
        <v>18</v>
      </c>
      <c r="E700" s="2">
        <v>38650</v>
      </c>
      <c r="F700" s="2">
        <v>6.2</v>
      </c>
      <c r="G700" s="4">
        <v>60</v>
      </c>
      <c r="H700" t="s">
        <v>19</v>
      </c>
      <c r="I700" t="s">
        <v>84</v>
      </c>
      <c r="J700" t="s">
        <v>28</v>
      </c>
      <c r="K700" s="2">
        <v>147449</v>
      </c>
      <c r="L700" t="s">
        <v>33</v>
      </c>
      <c r="M700" s="2">
        <v>0.42</v>
      </c>
      <c r="N700" s="2">
        <v>0.61</v>
      </c>
      <c r="O700" s="2">
        <v>41046.300000000003</v>
      </c>
      <c r="P700" s="2">
        <v>0</v>
      </c>
      <c r="Q700">
        <f t="shared" si="40"/>
        <v>63360.655737704918</v>
      </c>
      <c r="R700">
        <f t="shared" ca="1" si="41"/>
        <v>42</v>
      </c>
      <c r="S700" s="2">
        <f t="shared" si="42"/>
        <v>2396.3000000000029</v>
      </c>
      <c r="T700" s="18">
        <v>0.1</v>
      </c>
      <c r="U700">
        <f t="shared" si="43"/>
        <v>2635.9300000000035</v>
      </c>
    </row>
    <row r="701" spans="1:21" x14ac:dyDescent="0.3">
      <c r="A701" t="s">
        <v>1444</v>
      </c>
      <c r="B701" s="1">
        <v>44888</v>
      </c>
      <c r="C701" t="s">
        <v>1445</v>
      </c>
      <c r="D701" s="3" t="s">
        <v>56</v>
      </c>
      <c r="E701" s="2">
        <v>7012</v>
      </c>
      <c r="F701" s="2">
        <v>18.600000000000001</v>
      </c>
      <c r="G701" s="4">
        <v>60</v>
      </c>
      <c r="H701" t="s">
        <v>19</v>
      </c>
      <c r="I701" t="s">
        <v>36</v>
      </c>
      <c r="J701" t="s">
        <v>47</v>
      </c>
      <c r="K701" s="2">
        <v>131739</v>
      </c>
      <c r="L701" t="s">
        <v>29</v>
      </c>
      <c r="M701" s="2">
        <v>0.34</v>
      </c>
      <c r="N701" s="2">
        <v>0.87</v>
      </c>
      <c r="O701" s="2">
        <v>8316.23</v>
      </c>
      <c r="P701" s="2">
        <v>0</v>
      </c>
      <c r="Q701">
        <f t="shared" si="40"/>
        <v>8059.7701149425284</v>
      </c>
      <c r="R701">
        <f t="shared" ca="1" si="41"/>
        <v>39</v>
      </c>
      <c r="S701" s="2">
        <f t="shared" si="42"/>
        <v>1304.2299999999996</v>
      </c>
      <c r="T701" s="18">
        <v>0.1</v>
      </c>
      <c r="U701">
        <f t="shared" si="43"/>
        <v>1434.6529999999996</v>
      </c>
    </row>
    <row r="702" spans="1:21" x14ac:dyDescent="0.3">
      <c r="A702" t="s">
        <v>1446</v>
      </c>
      <c r="B702" s="1">
        <v>44511</v>
      </c>
      <c r="C702" t="s">
        <v>1447</v>
      </c>
      <c r="D702" s="3" t="s">
        <v>56</v>
      </c>
      <c r="E702" s="2">
        <v>8151</v>
      </c>
      <c r="F702" s="2">
        <v>14.3</v>
      </c>
      <c r="G702" s="4">
        <v>36</v>
      </c>
      <c r="H702" t="s">
        <v>26</v>
      </c>
      <c r="I702" t="s">
        <v>36</v>
      </c>
      <c r="J702" t="s">
        <v>28</v>
      </c>
      <c r="K702" s="2">
        <v>134926</v>
      </c>
      <c r="L702" t="s">
        <v>22</v>
      </c>
      <c r="M702" s="2">
        <v>0.22</v>
      </c>
      <c r="N702" s="2">
        <v>0.54</v>
      </c>
      <c r="O702" s="2">
        <v>3592.52</v>
      </c>
      <c r="P702" s="2">
        <v>0</v>
      </c>
      <c r="Q702">
        <f t="shared" si="40"/>
        <v>15094.444444444443</v>
      </c>
      <c r="R702">
        <f t="shared" ca="1" si="41"/>
        <v>52</v>
      </c>
      <c r="S702" s="2">
        <f t="shared" si="42"/>
        <v>-4558.4799999999996</v>
      </c>
      <c r="T702" s="18">
        <v>0.1</v>
      </c>
      <c r="U702">
        <f t="shared" si="43"/>
        <v>-5014.3279999999995</v>
      </c>
    </row>
    <row r="703" spans="1:21" x14ac:dyDescent="0.3">
      <c r="A703" t="s">
        <v>1448</v>
      </c>
      <c r="B703" s="1">
        <v>45073</v>
      </c>
      <c r="C703" t="s">
        <v>1449</v>
      </c>
      <c r="D703" s="3" t="s">
        <v>46</v>
      </c>
      <c r="E703" s="2">
        <v>29211</v>
      </c>
      <c r="F703" s="2">
        <v>5.7</v>
      </c>
      <c r="G703" s="4">
        <v>36</v>
      </c>
      <c r="H703" t="s">
        <v>60</v>
      </c>
      <c r="I703" t="s">
        <v>57</v>
      </c>
      <c r="J703" t="s">
        <v>47</v>
      </c>
      <c r="K703" s="2">
        <v>108388</v>
      </c>
      <c r="L703" t="s">
        <v>33</v>
      </c>
      <c r="M703" s="2">
        <v>0.2</v>
      </c>
      <c r="N703" s="2">
        <v>0.89</v>
      </c>
      <c r="O703" s="2">
        <v>0</v>
      </c>
      <c r="P703" s="2">
        <v>0</v>
      </c>
      <c r="Q703">
        <f t="shared" si="40"/>
        <v>32821.348314606745</v>
      </c>
      <c r="R703">
        <f t="shared" ca="1" si="41"/>
        <v>33</v>
      </c>
      <c r="S703" s="2">
        <f t="shared" si="42"/>
        <v>-29211</v>
      </c>
      <c r="T703" s="18">
        <v>0.1</v>
      </c>
      <c r="U703">
        <f t="shared" si="43"/>
        <v>-32132.100000000002</v>
      </c>
    </row>
    <row r="704" spans="1:21" x14ac:dyDescent="0.3">
      <c r="A704" t="s">
        <v>1450</v>
      </c>
      <c r="B704" s="1">
        <v>44858</v>
      </c>
      <c r="C704" t="s">
        <v>1451</v>
      </c>
      <c r="D704" s="3" t="s">
        <v>25</v>
      </c>
      <c r="E704" s="2">
        <v>28117</v>
      </c>
      <c r="F704" s="2">
        <v>24.4</v>
      </c>
      <c r="G704" s="4">
        <v>60</v>
      </c>
      <c r="H704" t="s">
        <v>26</v>
      </c>
      <c r="I704" t="s">
        <v>20</v>
      </c>
      <c r="J704" t="s">
        <v>32</v>
      </c>
      <c r="K704" s="2">
        <v>77574</v>
      </c>
      <c r="L704" t="s">
        <v>22</v>
      </c>
      <c r="M704" s="2">
        <v>0.23</v>
      </c>
      <c r="N704" s="2">
        <v>0.72</v>
      </c>
      <c r="O704" s="2">
        <v>12707.65</v>
      </c>
      <c r="P704" s="2">
        <v>0</v>
      </c>
      <c r="Q704">
        <f t="shared" si="40"/>
        <v>39051.388888888891</v>
      </c>
      <c r="R704">
        <f t="shared" ca="1" si="41"/>
        <v>40</v>
      </c>
      <c r="S704" s="2">
        <f t="shared" si="42"/>
        <v>-15409.35</v>
      </c>
      <c r="T704" s="18">
        <v>0.1</v>
      </c>
      <c r="U704">
        <f t="shared" si="43"/>
        <v>-16950.285000000003</v>
      </c>
    </row>
    <row r="705" spans="1:21" x14ac:dyDescent="0.3">
      <c r="A705" t="s">
        <v>1452</v>
      </c>
      <c r="B705" s="1">
        <v>44473</v>
      </c>
      <c r="C705" t="s">
        <v>1453</v>
      </c>
      <c r="D705" s="3" t="s">
        <v>56</v>
      </c>
      <c r="E705" s="2">
        <v>37378</v>
      </c>
      <c r="F705" s="2">
        <v>24</v>
      </c>
      <c r="G705" s="4">
        <v>36</v>
      </c>
      <c r="H705" t="s">
        <v>19</v>
      </c>
      <c r="I705" t="s">
        <v>20</v>
      </c>
      <c r="J705" t="s">
        <v>37</v>
      </c>
      <c r="K705" s="2">
        <v>73391</v>
      </c>
      <c r="L705" t="s">
        <v>33</v>
      </c>
      <c r="M705" s="2">
        <v>0.17</v>
      </c>
      <c r="N705" s="2">
        <v>0.63</v>
      </c>
      <c r="O705" s="2">
        <v>46348.72</v>
      </c>
      <c r="P705" s="2">
        <v>0</v>
      </c>
      <c r="Q705">
        <f t="shared" si="40"/>
        <v>59330.158730158728</v>
      </c>
      <c r="R705">
        <f t="shared" ca="1" si="41"/>
        <v>53</v>
      </c>
      <c r="S705" s="2">
        <f t="shared" si="42"/>
        <v>8970.7200000000012</v>
      </c>
      <c r="T705" s="18">
        <v>0.1</v>
      </c>
      <c r="U705">
        <f t="shared" si="43"/>
        <v>9867.7920000000013</v>
      </c>
    </row>
    <row r="706" spans="1:21" x14ac:dyDescent="0.3">
      <c r="A706" t="s">
        <v>1454</v>
      </c>
      <c r="B706" s="1">
        <v>44820</v>
      </c>
      <c r="C706" t="s">
        <v>1455</v>
      </c>
      <c r="D706" s="3" t="s">
        <v>50</v>
      </c>
      <c r="E706" s="2">
        <v>7894</v>
      </c>
      <c r="F706" s="2">
        <v>15.3</v>
      </c>
      <c r="G706" s="4">
        <v>36</v>
      </c>
      <c r="H706" t="s">
        <v>19</v>
      </c>
      <c r="I706" t="s">
        <v>20</v>
      </c>
      <c r="J706" t="s">
        <v>37</v>
      </c>
      <c r="K706" s="2">
        <v>83664</v>
      </c>
      <c r="L706" t="s">
        <v>29</v>
      </c>
      <c r="M706" s="2">
        <v>0.17</v>
      </c>
      <c r="N706" s="2">
        <v>0.62</v>
      </c>
      <c r="O706" s="2">
        <v>9101.7800000000007</v>
      </c>
      <c r="P706" s="2">
        <v>0</v>
      </c>
      <c r="Q706">
        <f t="shared" si="40"/>
        <v>12732.258064516129</v>
      </c>
      <c r="R706">
        <f t="shared" ca="1" si="41"/>
        <v>42</v>
      </c>
      <c r="S706" s="2">
        <f t="shared" si="42"/>
        <v>1207.7800000000007</v>
      </c>
      <c r="T706" s="18">
        <v>0.1</v>
      </c>
      <c r="U706">
        <f t="shared" si="43"/>
        <v>1328.5580000000009</v>
      </c>
    </row>
    <row r="707" spans="1:21" x14ac:dyDescent="0.3">
      <c r="A707" t="s">
        <v>1456</v>
      </c>
      <c r="B707" s="1">
        <v>44712</v>
      </c>
      <c r="C707" t="s">
        <v>1457</v>
      </c>
      <c r="D707" s="3" t="s">
        <v>40</v>
      </c>
      <c r="E707" s="2">
        <v>14467</v>
      </c>
      <c r="F707" s="2">
        <v>6.9</v>
      </c>
      <c r="G707" s="4">
        <v>36</v>
      </c>
      <c r="H707" t="s">
        <v>81</v>
      </c>
      <c r="I707" t="s">
        <v>20</v>
      </c>
      <c r="J707" t="s">
        <v>47</v>
      </c>
      <c r="K707" s="2">
        <v>97384</v>
      </c>
      <c r="L707" t="s">
        <v>33</v>
      </c>
      <c r="M707" s="2">
        <v>0.42</v>
      </c>
      <c r="N707" s="2">
        <v>0.69</v>
      </c>
      <c r="O707" s="2">
        <v>5293.66</v>
      </c>
      <c r="P707" s="2">
        <v>1335.02</v>
      </c>
      <c r="Q707">
        <f t="shared" ref="Q707:Q770" si="44">E707/N707</f>
        <v>20966.666666666668</v>
      </c>
      <c r="R707">
        <f t="shared" ref="R707:R770" ca="1" si="45">DATEDIF(B707, TODAY(), "M")</f>
        <v>45</v>
      </c>
      <c r="S707" s="2">
        <f t="shared" ref="S707:S770" si="46">(O707+P707)-E707</f>
        <v>-7838.32</v>
      </c>
      <c r="T707" s="18">
        <v>0.1</v>
      </c>
      <c r="U707">
        <f t="shared" ref="U707:U770" si="47">S707*(1+T707)</f>
        <v>-8622.152</v>
      </c>
    </row>
    <row r="708" spans="1:21" x14ac:dyDescent="0.3">
      <c r="A708" t="s">
        <v>1458</v>
      </c>
      <c r="B708" s="1">
        <v>45039</v>
      </c>
      <c r="C708" t="s">
        <v>1459</v>
      </c>
      <c r="D708" s="3" t="s">
        <v>40</v>
      </c>
      <c r="E708" s="2">
        <v>32010</v>
      </c>
      <c r="F708" s="2">
        <v>20.100000000000001</v>
      </c>
      <c r="G708" s="4">
        <v>60</v>
      </c>
      <c r="H708" t="s">
        <v>19</v>
      </c>
      <c r="I708" t="s">
        <v>20</v>
      </c>
      <c r="J708" t="s">
        <v>37</v>
      </c>
      <c r="K708" s="2">
        <v>61027</v>
      </c>
      <c r="L708" t="s">
        <v>22</v>
      </c>
      <c r="M708" s="2">
        <v>0.25</v>
      </c>
      <c r="N708" s="2">
        <v>0.95</v>
      </c>
      <c r="O708" s="2">
        <v>38444.01</v>
      </c>
      <c r="P708" s="2">
        <v>0</v>
      </c>
      <c r="Q708">
        <f t="shared" si="44"/>
        <v>33694.736842105267</v>
      </c>
      <c r="R708">
        <f t="shared" ca="1" si="45"/>
        <v>34</v>
      </c>
      <c r="S708" s="2">
        <f t="shared" si="46"/>
        <v>6434.010000000002</v>
      </c>
      <c r="T708" s="18">
        <v>0.1</v>
      </c>
      <c r="U708">
        <f t="shared" si="47"/>
        <v>7077.4110000000028</v>
      </c>
    </row>
    <row r="709" spans="1:21" x14ac:dyDescent="0.3">
      <c r="A709" t="s">
        <v>1460</v>
      </c>
      <c r="B709" s="1">
        <v>44546</v>
      </c>
      <c r="C709" t="s">
        <v>1461</v>
      </c>
      <c r="D709" s="3" t="s">
        <v>18</v>
      </c>
      <c r="E709" s="2">
        <v>13289</v>
      </c>
      <c r="F709" s="2">
        <v>14.8</v>
      </c>
      <c r="G709" s="4">
        <v>60</v>
      </c>
      <c r="H709" t="s">
        <v>26</v>
      </c>
      <c r="I709" t="s">
        <v>57</v>
      </c>
      <c r="J709" t="s">
        <v>47</v>
      </c>
      <c r="K709" s="2">
        <v>65464</v>
      </c>
      <c r="L709" t="s">
        <v>33</v>
      </c>
      <c r="M709" s="2">
        <v>0.27</v>
      </c>
      <c r="N709" s="2">
        <v>0.6</v>
      </c>
      <c r="O709" s="2">
        <v>3903.76</v>
      </c>
      <c r="P709" s="2">
        <v>0</v>
      </c>
      <c r="Q709">
        <f t="shared" si="44"/>
        <v>22148.333333333336</v>
      </c>
      <c r="R709">
        <f t="shared" ca="1" si="45"/>
        <v>51</v>
      </c>
      <c r="S709" s="2">
        <f t="shared" si="46"/>
        <v>-9385.24</v>
      </c>
      <c r="T709" s="18">
        <v>0.1</v>
      </c>
      <c r="U709">
        <f t="shared" si="47"/>
        <v>-10323.764000000001</v>
      </c>
    </row>
    <row r="710" spans="1:21" x14ac:dyDescent="0.3">
      <c r="A710" t="s">
        <v>1462</v>
      </c>
      <c r="B710" s="1">
        <v>45019</v>
      </c>
      <c r="C710" t="s">
        <v>1463</v>
      </c>
      <c r="D710" s="3" t="s">
        <v>18</v>
      </c>
      <c r="E710" s="2">
        <v>24171</v>
      </c>
      <c r="F710" s="2">
        <v>11</v>
      </c>
      <c r="G710" s="4">
        <v>36</v>
      </c>
      <c r="H710" t="s">
        <v>19</v>
      </c>
      <c r="I710" t="s">
        <v>73</v>
      </c>
      <c r="J710" t="s">
        <v>47</v>
      </c>
      <c r="K710" s="2">
        <v>64485</v>
      </c>
      <c r="L710" t="s">
        <v>33</v>
      </c>
      <c r="M710" s="2">
        <v>0.34</v>
      </c>
      <c r="N710" s="2">
        <v>0.55000000000000004</v>
      </c>
      <c r="O710" s="2">
        <v>26829.81</v>
      </c>
      <c r="P710" s="2">
        <v>0</v>
      </c>
      <c r="Q710">
        <f t="shared" si="44"/>
        <v>43947.272727272721</v>
      </c>
      <c r="R710">
        <f t="shared" ca="1" si="45"/>
        <v>35</v>
      </c>
      <c r="S710" s="2">
        <f t="shared" si="46"/>
        <v>2658.8100000000013</v>
      </c>
      <c r="T710" s="18">
        <v>0.1</v>
      </c>
      <c r="U710">
        <f t="shared" si="47"/>
        <v>2924.6910000000016</v>
      </c>
    </row>
    <row r="711" spans="1:21" x14ac:dyDescent="0.3">
      <c r="A711" t="s">
        <v>1464</v>
      </c>
      <c r="B711" s="1">
        <v>44955</v>
      </c>
      <c r="C711" t="s">
        <v>1465</v>
      </c>
      <c r="D711" s="3" t="s">
        <v>25</v>
      </c>
      <c r="E711" s="2">
        <v>35905</v>
      </c>
      <c r="F711" s="2">
        <v>14.8</v>
      </c>
      <c r="G711" s="4">
        <v>60</v>
      </c>
      <c r="H711" t="s">
        <v>19</v>
      </c>
      <c r="I711" t="s">
        <v>27</v>
      </c>
      <c r="J711" t="s">
        <v>21</v>
      </c>
      <c r="K711" s="2">
        <v>49456</v>
      </c>
      <c r="L711" t="s">
        <v>29</v>
      </c>
      <c r="M711" s="2">
        <v>0.34</v>
      </c>
      <c r="N711" s="2">
        <v>0.76</v>
      </c>
      <c r="O711" s="2">
        <v>41218.94</v>
      </c>
      <c r="P711" s="2">
        <v>0</v>
      </c>
      <c r="Q711">
        <f t="shared" si="44"/>
        <v>47243.42105263158</v>
      </c>
      <c r="R711">
        <f t="shared" ca="1" si="45"/>
        <v>37</v>
      </c>
      <c r="S711" s="2">
        <f t="shared" si="46"/>
        <v>5313.9400000000023</v>
      </c>
      <c r="T711" s="18">
        <v>0.1</v>
      </c>
      <c r="U711">
        <f t="shared" si="47"/>
        <v>5845.3340000000035</v>
      </c>
    </row>
    <row r="712" spans="1:21" x14ac:dyDescent="0.3">
      <c r="A712" t="s">
        <v>1466</v>
      </c>
      <c r="B712" s="1">
        <v>45095</v>
      </c>
      <c r="C712" t="s">
        <v>1467</v>
      </c>
      <c r="D712" s="3" t="s">
        <v>40</v>
      </c>
      <c r="E712" s="2">
        <v>21829</v>
      </c>
      <c r="F712" s="2">
        <v>15.4</v>
      </c>
      <c r="G712" s="4">
        <v>60</v>
      </c>
      <c r="H712" t="s">
        <v>26</v>
      </c>
      <c r="I712" t="s">
        <v>20</v>
      </c>
      <c r="J712" t="s">
        <v>21</v>
      </c>
      <c r="K712" s="2">
        <v>104795</v>
      </c>
      <c r="L712" t="s">
        <v>22</v>
      </c>
      <c r="M712" s="2">
        <v>0.13</v>
      </c>
      <c r="N712" s="2">
        <v>0.72</v>
      </c>
      <c r="O712" s="2">
        <v>7441.09</v>
      </c>
      <c r="P712" s="2">
        <v>0</v>
      </c>
      <c r="Q712">
        <f t="shared" si="44"/>
        <v>30318.055555555558</v>
      </c>
      <c r="R712">
        <f t="shared" ca="1" si="45"/>
        <v>33</v>
      </c>
      <c r="S712" s="2">
        <f t="shared" si="46"/>
        <v>-14387.91</v>
      </c>
      <c r="T712" s="18">
        <v>0.1</v>
      </c>
      <c r="U712">
        <f t="shared" si="47"/>
        <v>-15826.701000000001</v>
      </c>
    </row>
    <row r="713" spans="1:21" x14ac:dyDescent="0.3">
      <c r="A713" t="s">
        <v>1468</v>
      </c>
      <c r="B713" s="1">
        <v>44439</v>
      </c>
      <c r="C713" t="s">
        <v>1469</v>
      </c>
      <c r="D713" s="3" t="s">
        <v>18</v>
      </c>
      <c r="E713" s="2">
        <v>35054</v>
      </c>
      <c r="F713" s="2">
        <v>16.3</v>
      </c>
      <c r="G713" s="4">
        <v>36</v>
      </c>
      <c r="H713" t="s">
        <v>26</v>
      </c>
      <c r="I713" t="s">
        <v>27</v>
      </c>
      <c r="J713" t="s">
        <v>21</v>
      </c>
      <c r="K713" s="2">
        <v>65554</v>
      </c>
      <c r="L713" t="s">
        <v>33</v>
      </c>
      <c r="M713" s="2">
        <v>0.43</v>
      </c>
      <c r="N713" s="2">
        <v>0.74</v>
      </c>
      <c r="O713" s="2">
        <v>10355.42</v>
      </c>
      <c r="P713" s="2">
        <v>0</v>
      </c>
      <c r="Q713">
        <f t="shared" si="44"/>
        <v>47370.270270270274</v>
      </c>
      <c r="R713">
        <f t="shared" ca="1" si="45"/>
        <v>54</v>
      </c>
      <c r="S713" s="2">
        <f t="shared" si="46"/>
        <v>-24698.58</v>
      </c>
      <c r="T713" s="18">
        <v>0.1</v>
      </c>
      <c r="U713">
        <f t="shared" si="47"/>
        <v>-27168.438000000006</v>
      </c>
    </row>
    <row r="714" spans="1:21" x14ac:dyDescent="0.3">
      <c r="A714" t="s">
        <v>1470</v>
      </c>
      <c r="B714" s="1">
        <v>44739</v>
      </c>
      <c r="C714" t="s">
        <v>1471</v>
      </c>
      <c r="D714" s="3" t="s">
        <v>56</v>
      </c>
      <c r="E714" s="2">
        <v>30734</v>
      </c>
      <c r="F714" s="2">
        <v>13.8</v>
      </c>
      <c r="G714" s="4">
        <v>36</v>
      </c>
      <c r="H714" t="s">
        <v>26</v>
      </c>
      <c r="I714" t="s">
        <v>27</v>
      </c>
      <c r="J714" t="s">
        <v>28</v>
      </c>
      <c r="K714" s="2">
        <v>76922</v>
      </c>
      <c r="L714" t="s">
        <v>29</v>
      </c>
      <c r="M714" s="2">
        <v>0.17</v>
      </c>
      <c r="N714" s="2">
        <v>0.8</v>
      </c>
      <c r="O714" s="2">
        <v>2244.9</v>
      </c>
      <c r="P714" s="2">
        <v>0</v>
      </c>
      <c r="Q714">
        <f t="shared" si="44"/>
        <v>38417.5</v>
      </c>
      <c r="R714">
        <f t="shared" ca="1" si="45"/>
        <v>44</v>
      </c>
      <c r="S714" s="2">
        <f t="shared" si="46"/>
        <v>-28489.1</v>
      </c>
      <c r="T714" s="18">
        <v>0.1</v>
      </c>
      <c r="U714">
        <f t="shared" si="47"/>
        <v>-31338.010000000002</v>
      </c>
    </row>
    <row r="715" spans="1:21" x14ac:dyDescent="0.3">
      <c r="A715" t="s">
        <v>1472</v>
      </c>
      <c r="B715" s="1">
        <v>45260</v>
      </c>
      <c r="C715" t="s">
        <v>1473</v>
      </c>
      <c r="D715" s="3" t="s">
        <v>18</v>
      </c>
      <c r="E715" s="2">
        <v>8052</v>
      </c>
      <c r="F715" s="2">
        <v>17.100000000000001</v>
      </c>
      <c r="G715" s="4">
        <v>60</v>
      </c>
      <c r="H715" t="s">
        <v>19</v>
      </c>
      <c r="I715" t="s">
        <v>73</v>
      </c>
      <c r="J715" t="s">
        <v>21</v>
      </c>
      <c r="K715" s="2">
        <v>43409</v>
      </c>
      <c r="L715" t="s">
        <v>33</v>
      </c>
      <c r="M715" s="2">
        <v>0.39</v>
      </c>
      <c r="N715" s="2">
        <v>0.62</v>
      </c>
      <c r="O715" s="2">
        <v>9428.89</v>
      </c>
      <c r="P715" s="2">
        <v>0</v>
      </c>
      <c r="Q715">
        <f t="shared" si="44"/>
        <v>12987.096774193549</v>
      </c>
      <c r="R715">
        <f t="shared" ca="1" si="45"/>
        <v>27</v>
      </c>
      <c r="S715" s="2">
        <f t="shared" si="46"/>
        <v>1376.8899999999994</v>
      </c>
      <c r="T715" s="18">
        <v>0.1</v>
      </c>
      <c r="U715">
        <f t="shared" si="47"/>
        <v>1514.5789999999995</v>
      </c>
    </row>
    <row r="716" spans="1:21" x14ac:dyDescent="0.3">
      <c r="A716" t="s">
        <v>1474</v>
      </c>
      <c r="B716" s="1">
        <v>44425</v>
      </c>
      <c r="C716" t="s">
        <v>1475</v>
      </c>
      <c r="D716" s="3" t="s">
        <v>76</v>
      </c>
      <c r="E716" s="2">
        <v>4654</v>
      </c>
      <c r="F716" s="2">
        <v>23.4</v>
      </c>
      <c r="G716" s="4">
        <v>36</v>
      </c>
      <c r="H716" t="s">
        <v>19</v>
      </c>
      <c r="I716" t="s">
        <v>36</v>
      </c>
      <c r="J716" t="s">
        <v>47</v>
      </c>
      <c r="K716" s="2">
        <v>99327</v>
      </c>
      <c r="L716" t="s">
        <v>22</v>
      </c>
      <c r="M716" s="2">
        <v>0.41</v>
      </c>
      <c r="N716" s="2">
        <v>0.91</v>
      </c>
      <c r="O716" s="2">
        <v>5743.04</v>
      </c>
      <c r="P716" s="2">
        <v>0</v>
      </c>
      <c r="Q716">
        <f t="shared" si="44"/>
        <v>5114.2857142857138</v>
      </c>
      <c r="R716">
        <f t="shared" ca="1" si="45"/>
        <v>55</v>
      </c>
      <c r="S716" s="2">
        <f t="shared" si="46"/>
        <v>1089.04</v>
      </c>
      <c r="T716" s="18">
        <v>0.1</v>
      </c>
      <c r="U716">
        <f t="shared" si="47"/>
        <v>1197.944</v>
      </c>
    </row>
    <row r="717" spans="1:21" x14ac:dyDescent="0.3">
      <c r="A717" t="s">
        <v>1476</v>
      </c>
      <c r="B717" s="1">
        <v>44744</v>
      </c>
      <c r="C717" t="s">
        <v>1477</v>
      </c>
      <c r="D717" s="3" t="s">
        <v>25</v>
      </c>
      <c r="E717" s="2">
        <v>24486</v>
      </c>
      <c r="F717" s="2">
        <v>12.2</v>
      </c>
      <c r="G717" s="4">
        <v>60</v>
      </c>
      <c r="H717" t="s">
        <v>26</v>
      </c>
      <c r="I717" t="s">
        <v>20</v>
      </c>
      <c r="J717" t="s">
        <v>32</v>
      </c>
      <c r="K717" s="2">
        <v>121400</v>
      </c>
      <c r="L717" t="s">
        <v>33</v>
      </c>
      <c r="M717" s="2">
        <v>0.39</v>
      </c>
      <c r="N717" s="2">
        <v>0.7</v>
      </c>
      <c r="O717" s="2">
        <v>9438.77</v>
      </c>
      <c r="P717" s="2">
        <v>0</v>
      </c>
      <c r="Q717">
        <f t="shared" si="44"/>
        <v>34980</v>
      </c>
      <c r="R717">
        <f t="shared" ca="1" si="45"/>
        <v>44</v>
      </c>
      <c r="S717" s="2">
        <f t="shared" si="46"/>
        <v>-15047.23</v>
      </c>
      <c r="T717" s="18">
        <v>0.1</v>
      </c>
      <c r="U717">
        <f t="shared" si="47"/>
        <v>-16551.953000000001</v>
      </c>
    </row>
    <row r="718" spans="1:21" x14ac:dyDescent="0.3">
      <c r="A718" t="s">
        <v>1478</v>
      </c>
      <c r="B718" s="1">
        <v>45116</v>
      </c>
      <c r="C718" t="s">
        <v>1479</v>
      </c>
      <c r="D718" s="3" t="s">
        <v>53</v>
      </c>
      <c r="E718" s="2">
        <v>19743</v>
      </c>
      <c r="F718" s="2">
        <v>19.5</v>
      </c>
      <c r="G718" s="4">
        <v>60</v>
      </c>
      <c r="H718" t="s">
        <v>26</v>
      </c>
      <c r="I718" t="s">
        <v>20</v>
      </c>
      <c r="J718" t="s">
        <v>21</v>
      </c>
      <c r="K718" s="2">
        <v>66639</v>
      </c>
      <c r="L718" t="s">
        <v>33</v>
      </c>
      <c r="M718" s="2">
        <v>0.33</v>
      </c>
      <c r="N718" s="2">
        <v>0.56000000000000005</v>
      </c>
      <c r="O718" s="2">
        <v>5476.7</v>
      </c>
      <c r="P718" s="2">
        <v>0</v>
      </c>
      <c r="Q718">
        <f t="shared" si="44"/>
        <v>35255.357142857138</v>
      </c>
      <c r="R718">
        <f t="shared" ca="1" si="45"/>
        <v>32</v>
      </c>
      <c r="S718" s="2">
        <f t="shared" si="46"/>
        <v>-14266.3</v>
      </c>
      <c r="T718" s="18">
        <v>0.1</v>
      </c>
      <c r="U718">
        <f t="shared" si="47"/>
        <v>-15692.93</v>
      </c>
    </row>
    <row r="719" spans="1:21" x14ac:dyDescent="0.3">
      <c r="A719" t="s">
        <v>1480</v>
      </c>
      <c r="B719" s="1">
        <v>44202</v>
      </c>
      <c r="C719" t="s">
        <v>1481</v>
      </c>
      <c r="D719" s="3" t="s">
        <v>65</v>
      </c>
      <c r="E719" s="2">
        <v>25489</v>
      </c>
      <c r="F719" s="2">
        <v>22.9</v>
      </c>
      <c r="G719" s="4">
        <v>36</v>
      </c>
      <c r="H719" t="s">
        <v>19</v>
      </c>
      <c r="I719" t="s">
        <v>57</v>
      </c>
      <c r="J719" t="s">
        <v>21</v>
      </c>
      <c r="K719" s="2">
        <v>130110</v>
      </c>
      <c r="L719" t="s">
        <v>33</v>
      </c>
      <c r="M719" s="2">
        <v>0.11</v>
      </c>
      <c r="N719" s="2">
        <v>0.83</v>
      </c>
      <c r="O719" s="2">
        <v>31325.98</v>
      </c>
      <c r="P719" s="2">
        <v>0</v>
      </c>
      <c r="Q719">
        <f t="shared" si="44"/>
        <v>30709.638554216868</v>
      </c>
      <c r="R719">
        <f t="shared" ca="1" si="45"/>
        <v>62</v>
      </c>
      <c r="S719" s="2">
        <f t="shared" si="46"/>
        <v>5836.98</v>
      </c>
      <c r="T719" s="18">
        <v>0.1</v>
      </c>
      <c r="U719">
        <f t="shared" si="47"/>
        <v>6420.6779999999999</v>
      </c>
    </row>
    <row r="720" spans="1:21" x14ac:dyDescent="0.3">
      <c r="A720" t="s">
        <v>1482</v>
      </c>
      <c r="B720" s="1">
        <v>44664</v>
      </c>
      <c r="C720" t="s">
        <v>1483</v>
      </c>
      <c r="D720" s="3" t="s">
        <v>72</v>
      </c>
      <c r="E720" s="2">
        <v>9636</v>
      </c>
      <c r="F720" s="2">
        <v>14.1</v>
      </c>
      <c r="G720" s="4">
        <v>60</v>
      </c>
      <c r="H720" t="s">
        <v>19</v>
      </c>
      <c r="I720" t="s">
        <v>20</v>
      </c>
      <c r="J720" t="s">
        <v>32</v>
      </c>
      <c r="K720" s="2">
        <v>93627</v>
      </c>
      <c r="L720" t="s">
        <v>33</v>
      </c>
      <c r="M720" s="2">
        <v>0.24</v>
      </c>
      <c r="N720" s="2">
        <v>0.79</v>
      </c>
      <c r="O720" s="2">
        <v>10994.68</v>
      </c>
      <c r="P720" s="2">
        <v>0</v>
      </c>
      <c r="Q720">
        <f t="shared" si="44"/>
        <v>12197.468354430379</v>
      </c>
      <c r="R720">
        <f t="shared" ca="1" si="45"/>
        <v>47</v>
      </c>
      <c r="S720" s="2">
        <f t="shared" si="46"/>
        <v>1358.6800000000003</v>
      </c>
      <c r="T720" s="18">
        <v>0.1</v>
      </c>
      <c r="U720">
        <f t="shared" si="47"/>
        <v>1494.5480000000005</v>
      </c>
    </row>
    <row r="721" spans="1:21" x14ac:dyDescent="0.3">
      <c r="A721" t="s">
        <v>1484</v>
      </c>
      <c r="B721" s="1">
        <v>44271</v>
      </c>
      <c r="C721" t="s">
        <v>1485</v>
      </c>
      <c r="D721" s="3" t="s">
        <v>65</v>
      </c>
      <c r="E721" s="2">
        <v>7441</v>
      </c>
      <c r="F721" s="2">
        <v>13.9</v>
      </c>
      <c r="G721" s="4">
        <v>60</v>
      </c>
      <c r="H721" t="s">
        <v>19</v>
      </c>
      <c r="I721" t="s">
        <v>73</v>
      </c>
      <c r="J721" t="s">
        <v>47</v>
      </c>
      <c r="K721" s="2">
        <v>113424</v>
      </c>
      <c r="L721" t="s">
        <v>22</v>
      </c>
      <c r="M721" s="2">
        <v>0.34</v>
      </c>
      <c r="N721" s="2">
        <v>0.64</v>
      </c>
      <c r="O721" s="2">
        <v>8475.2999999999993</v>
      </c>
      <c r="P721" s="2">
        <v>0</v>
      </c>
      <c r="Q721">
        <f t="shared" si="44"/>
        <v>11626.5625</v>
      </c>
      <c r="R721">
        <f t="shared" ca="1" si="45"/>
        <v>60</v>
      </c>
      <c r="S721" s="2">
        <f t="shared" si="46"/>
        <v>1034.2999999999993</v>
      </c>
      <c r="T721" s="18">
        <v>0.1</v>
      </c>
      <c r="U721">
        <f t="shared" si="47"/>
        <v>1137.7299999999993</v>
      </c>
    </row>
    <row r="722" spans="1:21" x14ac:dyDescent="0.3">
      <c r="A722" t="s">
        <v>1486</v>
      </c>
      <c r="B722" s="1">
        <v>44200</v>
      </c>
      <c r="C722" t="s">
        <v>1487</v>
      </c>
      <c r="D722" s="3" t="s">
        <v>65</v>
      </c>
      <c r="E722" s="2">
        <v>25611</v>
      </c>
      <c r="F722" s="2">
        <v>17</v>
      </c>
      <c r="G722" s="4">
        <v>36</v>
      </c>
      <c r="H722" t="s">
        <v>315</v>
      </c>
      <c r="I722" t="s">
        <v>57</v>
      </c>
      <c r="J722" t="s">
        <v>28</v>
      </c>
      <c r="K722" s="2">
        <v>49692</v>
      </c>
      <c r="L722" t="s">
        <v>29</v>
      </c>
      <c r="M722" s="2">
        <v>0.25</v>
      </c>
      <c r="N722" s="2">
        <v>0.78</v>
      </c>
      <c r="O722" s="2">
        <v>0</v>
      </c>
      <c r="P722" s="2">
        <v>0</v>
      </c>
      <c r="Q722">
        <f t="shared" si="44"/>
        <v>32834.615384615383</v>
      </c>
      <c r="R722">
        <f t="shared" ca="1" si="45"/>
        <v>62</v>
      </c>
      <c r="S722" s="2">
        <f t="shared" si="46"/>
        <v>-25611</v>
      </c>
      <c r="T722" s="18">
        <v>0.1</v>
      </c>
      <c r="U722">
        <f t="shared" si="47"/>
        <v>-28172.100000000002</v>
      </c>
    </row>
    <row r="723" spans="1:21" x14ac:dyDescent="0.3">
      <c r="A723" t="s">
        <v>1488</v>
      </c>
      <c r="B723" s="1">
        <v>44842</v>
      </c>
      <c r="C723" t="s">
        <v>1489</v>
      </c>
      <c r="D723" s="3" t="s">
        <v>46</v>
      </c>
      <c r="E723" s="2">
        <v>13149</v>
      </c>
      <c r="F723" s="2">
        <v>16.8</v>
      </c>
      <c r="G723" s="4">
        <v>36</v>
      </c>
      <c r="H723" t="s">
        <v>26</v>
      </c>
      <c r="I723" t="s">
        <v>57</v>
      </c>
      <c r="J723" t="s">
        <v>21</v>
      </c>
      <c r="K723" s="2">
        <v>119037</v>
      </c>
      <c r="L723" t="s">
        <v>29</v>
      </c>
      <c r="M723" s="2">
        <v>0.45</v>
      </c>
      <c r="N723" s="2">
        <v>0.6</v>
      </c>
      <c r="O723" s="2">
        <v>4489.9799999999996</v>
      </c>
      <c r="P723" s="2">
        <v>0</v>
      </c>
      <c r="Q723">
        <f t="shared" si="44"/>
        <v>21915</v>
      </c>
      <c r="R723">
        <f t="shared" ca="1" si="45"/>
        <v>41</v>
      </c>
      <c r="S723" s="2">
        <f t="shared" si="46"/>
        <v>-8659.02</v>
      </c>
      <c r="T723" s="18">
        <v>0.1</v>
      </c>
      <c r="U723">
        <f t="shared" si="47"/>
        <v>-9524.9220000000005</v>
      </c>
    </row>
    <row r="724" spans="1:21" x14ac:dyDescent="0.3">
      <c r="A724" t="s">
        <v>1490</v>
      </c>
      <c r="B724" s="1">
        <v>44314</v>
      </c>
      <c r="C724" t="s">
        <v>1491</v>
      </c>
      <c r="D724" s="3" t="s">
        <v>53</v>
      </c>
      <c r="E724" s="2">
        <v>35566</v>
      </c>
      <c r="F724" s="2">
        <v>21.1</v>
      </c>
      <c r="G724" s="4">
        <v>36</v>
      </c>
      <c r="H724" t="s">
        <v>81</v>
      </c>
      <c r="I724" t="s">
        <v>20</v>
      </c>
      <c r="J724" t="s">
        <v>32</v>
      </c>
      <c r="K724" s="2">
        <v>108840</v>
      </c>
      <c r="L724" t="s">
        <v>33</v>
      </c>
      <c r="M724" s="2">
        <v>0.22</v>
      </c>
      <c r="N724" s="2">
        <v>0.7</v>
      </c>
      <c r="O724" s="2">
        <v>8919.67</v>
      </c>
      <c r="P724" s="2">
        <v>8978.74</v>
      </c>
      <c r="Q724">
        <f t="shared" si="44"/>
        <v>50808.571428571435</v>
      </c>
      <c r="R724">
        <f t="shared" ca="1" si="45"/>
        <v>58</v>
      </c>
      <c r="S724" s="2">
        <f t="shared" si="46"/>
        <v>-17667.59</v>
      </c>
      <c r="T724" s="18">
        <v>0.1</v>
      </c>
      <c r="U724">
        <f t="shared" si="47"/>
        <v>-19434.349000000002</v>
      </c>
    </row>
    <row r="725" spans="1:21" x14ac:dyDescent="0.3">
      <c r="A725" t="s">
        <v>1492</v>
      </c>
      <c r="B725" s="1">
        <v>45077</v>
      </c>
      <c r="C725" t="s">
        <v>1493</v>
      </c>
      <c r="D725" s="3" t="s">
        <v>18</v>
      </c>
      <c r="E725" s="2">
        <v>22675</v>
      </c>
      <c r="F725" s="2">
        <v>14.5</v>
      </c>
      <c r="G725" s="4">
        <v>60</v>
      </c>
      <c r="H725" t="s">
        <v>19</v>
      </c>
      <c r="I725" t="s">
        <v>57</v>
      </c>
      <c r="J725" t="s">
        <v>47</v>
      </c>
      <c r="K725" s="2">
        <v>84200</v>
      </c>
      <c r="L725" t="s">
        <v>22</v>
      </c>
      <c r="M725" s="2">
        <v>0.22</v>
      </c>
      <c r="N725" s="2">
        <v>0.9</v>
      </c>
      <c r="O725" s="2">
        <v>25962.880000000001</v>
      </c>
      <c r="P725" s="2">
        <v>0</v>
      </c>
      <c r="Q725">
        <f t="shared" si="44"/>
        <v>25194.444444444445</v>
      </c>
      <c r="R725">
        <f t="shared" ca="1" si="45"/>
        <v>33</v>
      </c>
      <c r="S725" s="2">
        <f t="shared" si="46"/>
        <v>3287.880000000001</v>
      </c>
      <c r="T725" s="18">
        <v>0.1</v>
      </c>
      <c r="U725">
        <f t="shared" si="47"/>
        <v>3616.6680000000015</v>
      </c>
    </row>
    <row r="726" spans="1:21" x14ac:dyDescent="0.3">
      <c r="A726" t="s">
        <v>1494</v>
      </c>
      <c r="B726" s="1">
        <v>44700</v>
      </c>
      <c r="C726" t="s">
        <v>1495</v>
      </c>
      <c r="D726" s="3" t="s">
        <v>46</v>
      </c>
      <c r="E726" s="2">
        <v>6495</v>
      </c>
      <c r="F726" s="2">
        <v>24.9</v>
      </c>
      <c r="G726" s="4">
        <v>36</v>
      </c>
      <c r="H726" t="s">
        <v>60</v>
      </c>
      <c r="I726" t="s">
        <v>73</v>
      </c>
      <c r="J726" t="s">
        <v>37</v>
      </c>
      <c r="K726" s="2">
        <v>123063</v>
      </c>
      <c r="L726" t="s">
        <v>22</v>
      </c>
      <c r="M726" s="2">
        <v>0.21</v>
      </c>
      <c r="N726" s="2">
        <v>0.56000000000000005</v>
      </c>
      <c r="O726" s="2">
        <v>0</v>
      </c>
      <c r="P726" s="2">
        <v>0</v>
      </c>
      <c r="Q726">
        <f t="shared" si="44"/>
        <v>11598.214285714284</v>
      </c>
      <c r="R726">
        <f t="shared" ca="1" si="45"/>
        <v>46</v>
      </c>
      <c r="S726" s="2">
        <f t="shared" si="46"/>
        <v>-6495</v>
      </c>
      <c r="T726" s="18">
        <v>0.1</v>
      </c>
      <c r="U726">
        <f t="shared" si="47"/>
        <v>-7144.5000000000009</v>
      </c>
    </row>
    <row r="727" spans="1:21" x14ac:dyDescent="0.3">
      <c r="A727" t="s">
        <v>1496</v>
      </c>
      <c r="B727" s="1">
        <v>45143</v>
      </c>
      <c r="C727" t="s">
        <v>1497</v>
      </c>
      <c r="D727" s="3" t="s">
        <v>65</v>
      </c>
      <c r="E727" s="2">
        <v>14673</v>
      </c>
      <c r="F727" s="2">
        <v>6.2</v>
      </c>
      <c r="G727" s="4">
        <v>36</v>
      </c>
      <c r="H727" t="s">
        <v>19</v>
      </c>
      <c r="I727" t="s">
        <v>73</v>
      </c>
      <c r="J727" t="s">
        <v>28</v>
      </c>
      <c r="K727" s="2">
        <v>87415</v>
      </c>
      <c r="L727" t="s">
        <v>22</v>
      </c>
      <c r="M727" s="2">
        <v>0.23</v>
      </c>
      <c r="N727" s="2">
        <v>0.67</v>
      </c>
      <c r="O727" s="2">
        <v>15582.73</v>
      </c>
      <c r="P727" s="2">
        <v>0</v>
      </c>
      <c r="Q727">
        <f t="shared" si="44"/>
        <v>21900</v>
      </c>
      <c r="R727">
        <f t="shared" ca="1" si="45"/>
        <v>31</v>
      </c>
      <c r="S727" s="2">
        <f t="shared" si="46"/>
        <v>909.72999999999956</v>
      </c>
      <c r="T727" s="18">
        <v>0.1</v>
      </c>
      <c r="U727">
        <f t="shared" si="47"/>
        <v>1000.7029999999996</v>
      </c>
    </row>
    <row r="728" spans="1:21" x14ac:dyDescent="0.3">
      <c r="A728" t="s">
        <v>1498</v>
      </c>
      <c r="B728" s="1">
        <v>44770</v>
      </c>
      <c r="C728" t="s">
        <v>1499</v>
      </c>
      <c r="D728" s="3" t="s">
        <v>76</v>
      </c>
      <c r="E728" s="2">
        <v>12130</v>
      </c>
      <c r="F728" s="2">
        <v>5.0999999999999996</v>
      </c>
      <c r="G728" s="4">
        <v>36</v>
      </c>
      <c r="H728" t="s">
        <v>19</v>
      </c>
      <c r="I728" t="s">
        <v>20</v>
      </c>
      <c r="J728" t="s">
        <v>32</v>
      </c>
      <c r="K728" s="2">
        <v>48074</v>
      </c>
      <c r="L728" t="s">
        <v>22</v>
      </c>
      <c r="M728" s="2">
        <v>0.32</v>
      </c>
      <c r="N728" s="2">
        <v>0.87</v>
      </c>
      <c r="O728" s="2">
        <v>12748.63</v>
      </c>
      <c r="P728" s="2">
        <v>0</v>
      </c>
      <c r="Q728">
        <f t="shared" si="44"/>
        <v>13942.528735632184</v>
      </c>
      <c r="R728">
        <f t="shared" ca="1" si="45"/>
        <v>43</v>
      </c>
      <c r="S728" s="2">
        <f t="shared" si="46"/>
        <v>618.6299999999992</v>
      </c>
      <c r="T728" s="18">
        <v>0.1</v>
      </c>
      <c r="U728">
        <f t="shared" si="47"/>
        <v>680.49299999999914</v>
      </c>
    </row>
    <row r="729" spans="1:21" x14ac:dyDescent="0.3">
      <c r="A729" t="s">
        <v>1500</v>
      </c>
      <c r="B729" s="1">
        <v>44390</v>
      </c>
      <c r="C729" t="s">
        <v>1501</v>
      </c>
      <c r="D729" s="3" t="s">
        <v>72</v>
      </c>
      <c r="E729" s="2">
        <v>23668</v>
      </c>
      <c r="F729" s="2">
        <v>17.8</v>
      </c>
      <c r="G729" s="4">
        <v>36</v>
      </c>
      <c r="H729" t="s">
        <v>26</v>
      </c>
      <c r="I729" t="s">
        <v>20</v>
      </c>
      <c r="J729" t="s">
        <v>32</v>
      </c>
      <c r="K729" s="2">
        <v>45549</v>
      </c>
      <c r="L729" t="s">
        <v>22</v>
      </c>
      <c r="M729" s="2">
        <v>0.38</v>
      </c>
      <c r="N729" s="2">
        <v>0.94</v>
      </c>
      <c r="O729" s="2">
        <v>6421.49</v>
      </c>
      <c r="P729" s="2">
        <v>0</v>
      </c>
      <c r="Q729">
        <f t="shared" si="44"/>
        <v>25178.723404255321</v>
      </c>
      <c r="R729">
        <f t="shared" ca="1" si="45"/>
        <v>56</v>
      </c>
      <c r="S729" s="2">
        <f t="shared" si="46"/>
        <v>-17246.510000000002</v>
      </c>
      <c r="T729" s="18">
        <v>0.1</v>
      </c>
      <c r="U729">
        <f t="shared" si="47"/>
        <v>-18971.161000000004</v>
      </c>
    </row>
    <row r="730" spans="1:21" x14ac:dyDescent="0.3">
      <c r="A730" t="s">
        <v>1502</v>
      </c>
      <c r="B730" s="1">
        <v>45043</v>
      </c>
      <c r="C730" t="s">
        <v>1503</v>
      </c>
      <c r="D730" s="3" t="s">
        <v>65</v>
      </c>
      <c r="E730" s="2">
        <v>16222</v>
      </c>
      <c r="F730" s="2">
        <v>11</v>
      </c>
      <c r="G730" s="4">
        <v>60</v>
      </c>
      <c r="H730" t="s">
        <v>19</v>
      </c>
      <c r="I730" t="s">
        <v>20</v>
      </c>
      <c r="J730" t="s">
        <v>32</v>
      </c>
      <c r="K730" s="2">
        <v>59963</v>
      </c>
      <c r="L730" t="s">
        <v>22</v>
      </c>
      <c r="M730" s="2">
        <v>0.37</v>
      </c>
      <c r="N730" s="2">
        <v>0.7</v>
      </c>
      <c r="O730" s="2">
        <v>18006.419999999998</v>
      </c>
      <c r="P730" s="2">
        <v>0</v>
      </c>
      <c r="Q730">
        <f t="shared" si="44"/>
        <v>23174.285714285717</v>
      </c>
      <c r="R730">
        <f t="shared" ca="1" si="45"/>
        <v>34</v>
      </c>
      <c r="S730" s="2">
        <f t="shared" si="46"/>
        <v>1784.4199999999983</v>
      </c>
      <c r="T730" s="18">
        <v>0.1</v>
      </c>
      <c r="U730">
        <f t="shared" si="47"/>
        <v>1962.8619999999983</v>
      </c>
    </row>
    <row r="731" spans="1:21" x14ac:dyDescent="0.3">
      <c r="A731" t="s">
        <v>1504</v>
      </c>
      <c r="B731" s="1">
        <v>44911</v>
      </c>
      <c r="C731" t="s">
        <v>1505</v>
      </c>
      <c r="D731" s="3" t="s">
        <v>40</v>
      </c>
      <c r="E731" s="2">
        <v>24669</v>
      </c>
      <c r="F731" s="2">
        <v>9.8000000000000007</v>
      </c>
      <c r="G731" s="4">
        <v>60</v>
      </c>
      <c r="H731" t="s">
        <v>19</v>
      </c>
      <c r="I731" t="s">
        <v>20</v>
      </c>
      <c r="J731" t="s">
        <v>21</v>
      </c>
      <c r="K731" s="2">
        <v>121456</v>
      </c>
      <c r="L731" t="s">
        <v>33</v>
      </c>
      <c r="M731" s="2">
        <v>0.42</v>
      </c>
      <c r="N731" s="2">
        <v>0.73</v>
      </c>
      <c r="O731" s="2">
        <v>27086.560000000001</v>
      </c>
      <c r="P731" s="2">
        <v>0</v>
      </c>
      <c r="Q731">
        <f t="shared" si="44"/>
        <v>33793.150684931505</v>
      </c>
      <c r="R731">
        <f t="shared" ca="1" si="45"/>
        <v>39</v>
      </c>
      <c r="S731" s="2">
        <f t="shared" si="46"/>
        <v>2417.5600000000013</v>
      </c>
      <c r="T731" s="18">
        <v>0.1</v>
      </c>
      <c r="U731">
        <f t="shared" si="47"/>
        <v>2659.3160000000016</v>
      </c>
    </row>
    <row r="732" spans="1:21" x14ac:dyDescent="0.3">
      <c r="A732" t="s">
        <v>1506</v>
      </c>
      <c r="B732" s="1">
        <v>45246</v>
      </c>
      <c r="C732" t="s">
        <v>1507</v>
      </c>
      <c r="D732" s="3" t="s">
        <v>53</v>
      </c>
      <c r="E732" s="2">
        <v>35068</v>
      </c>
      <c r="F732" s="2">
        <v>11.2</v>
      </c>
      <c r="G732" s="4">
        <v>36</v>
      </c>
      <c r="H732" t="s">
        <v>19</v>
      </c>
      <c r="I732" t="s">
        <v>84</v>
      </c>
      <c r="J732" t="s">
        <v>37</v>
      </c>
      <c r="K732" s="2">
        <v>126362</v>
      </c>
      <c r="L732" t="s">
        <v>29</v>
      </c>
      <c r="M732" s="2">
        <v>0.45</v>
      </c>
      <c r="N732" s="2">
        <v>0.76</v>
      </c>
      <c r="O732" s="2">
        <v>38995.620000000003</v>
      </c>
      <c r="P732" s="2">
        <v>0</v>
      </c>
      <c r="Q732">
        <f t="shared" si="44"/>
        <v>46142.105263157893</v>
      </c>
      <c r="R732">
        <f t="shared" ca="1" si="45"/>
        <v>28</v>
      </c>
      <c r="S732" s="2">
        <f t="shared" si="46"/>
        <v>3927.6200000000026</v>
      </c>
      <c r="T732" s="18">
        <v>0.1</v>
      </c>
      <c r="U732">
        <f t="shared" si="47"/>
        <v>4320.3820000000032</v>
      </c>
    </row>
    <row r="733" spans="1:21" x14ac:dyDescent="0.3">
      <c r="A733" t="s">
        <v>1508</v>
      </c>
      <c r="B733" s="1">
        <v>44369</v>
      </c>
      <c r="C733" t="s">
        <v>1509</v>
      </c>
      <c r="D733" s="3" t="s">
        <v>53</v>
      </c>
      <c r="E733" s="2">
        <v>24253</v>
      </c>
      <c r="F733" s="2">
        <v>10.1</v>
      </c>
      <c r="G733" s="4">
        <v>60</v>
      </c>
      <c r="H733" t="s">
        <v>19</v>
      </c>
      <c r="I733" t="s">
        <v>20</v>
      </c>
      <c r="J733" t="s">
        <v>28</v>
      </c>
      <c r="K733" s="2">
        <v>131607</v>
      </c>
      <c r="L733" t="s">
        <v>29</v>
      </c>
      <c r="M733" s="2">
        <v>0.43</v>
      </c>
      <c r="N733" s="2">
        <v>0.92</v>
      </c>
      <c r="O733" s="2">
        <v>26702.55</v>
      </c>
      <c r="P733" s="2">
        <v>0</v>
      </c>
      <c r="Q733">
        <f t="shared" si="44"/>
        <v>26361.956521739128</v>
      </c>
      <c r="R733">
        <f t="shared" ca="1" si="45"/>
        <v>56</v>
      </c>
      <c r="S733" s="2">
        <f t="shared" si="46"/>
        <v>2449.5499999999993</v>
      </c>
      <c r="T733" s="18">
        <v>0.1</v>
      </c>
      <c r="U733">
        <f t="shared" si="47"/>
        <v>2694.5049999999992</v>
      </c>
    </row>
    <row r="734" spans="1:21" x14ac:dyDescent="0.3">
      <c r="A734" t="s">
        <v>1510</v>
      </c>
      <c r="B734" s="1">
        <v>44522</v>
      </c>
      <c r="C734" t="s">
        <v>1511</v>
      </c>
      <c r="D734" s="3" t="s">
        <v>53</v>
      </c>
      <c r="E734" s="2">
        <v>10435</v>
      </c>
      <c r="F734" s="2">
        <v>5.6</v>
      </c>
      <c r="G734" s="4">
        <v>36</v>
      </c>
      <c r="H734" t="s">
        <v>26</v>
      </c>
      <c r="I734" t="s">
        <v>27</v>
      </c>
      <c r="J734" t="s">
        <v>47</v>
      </c>
      <c r="K734" s="2">
        <v>82265</v>
      </c>
      <c r="L734" t="s">
        <v>33</v>
      </c>
      <c r="M734" s="2">
        <v>0.11</v>
      </c>
      <c r="N734" s="2">
        <v>0.89</v>
      </c>
      <c r="O734" s="2">
        <v>1328.43</v>
      </c>
      <c r="P734" s="2">
        <v>0</v>
      </c>
      <c r="Q734">
        <f t="shared" si="44"/>
        <v>11724.719101123595</v>
      </c>
      <c r="R734">
        <f t="shared" ca="1" si="45"/>
        <v>51</v>
      </c>
      <c r="S734" s="2">
        <f t="shared" si="46"/>
        <v>-9106.57</v>
      </c>
      <c r="T734" s="18">
        <v>0.1</v>
      </c>
      <c r="U734">
        <f t="shared" si="47"/>
        <v>-10017.227000000001</v>
      </c>
    </row>
    <row r="735" spans="1:21" x14ac:dyDescent="0.3">
      <c r="A735" t="s">
        <v>1512</v>
      </c>
      <c r="B735" s="1">
        <v>45032</v>
      </c>
      <c r="C735" t="s">
        <v>1513</v>
      </c>
      <c r="D735" s="3" t="s">
        <v>25</v>
      </c>
      <c r="E735" s="2">
        <v>29552</v>
      </c>
      <c r="F735" s="2">
        <v>24.4</v>
      </c>
      <c r="G735" s="4">
        <v>36</v>
      </c>
      <c r="H735" t="s">
        <v>26</v>
      </c>
      <c r="I735" t="s">
        <v>84</v>
      </c>
      <c r="J735" t="s">
        <v>47</v>
      </c>
      <c r="K735" s="2">
        <v>46061</v>
      </c>
      <c r="L735" t="s">
        <v>29</v>
      </c>
      <c r="M735" s="2">
        <v>0.39</v>
      </c>
      <c r="N735" s="2">
        <v>0.57999999999999996</v>
      </c>
      <c r="O735" s="2">
        <v>5184.05</v>
      </c>
      <c r="P735" s="2">
        <v>0</v>
      </c>
      <c r="Q735">
        <f t="shared" si="44"/>
        <v>50951.724137931036</v>
      </c>
      <c r="R735">
        <f t="shared" ca="1" si="45"/>
        <v>35</v>
      </c>
      <c r="S735" s="2">
        <f t="shared" si="46"/>
        <v>-24367.95</v>
      </c>
      <c r="T735" s="18">
        <v>0.1</v>
      </c>
      <c r="U735">
        <f t="shared" si="47"/>
        <v>-26804.745000000003</v>
      </c>
    </row>
    <row r="736" spans="1:21" x14ac:dyDescent="0.3">
      <c r="A736" t="s">
        <v>1514</v>
      </c>
      <c r="B736" s="1">
        <v>44920</v>
      </c>
      <c r="C736" t="s">
        <v>1515</v>
      </c>
      <c r="D736" s="3" t="s">
        <v>25</v>
      </c>
      <c r="E736" s="2">
        <v>38384</v>
      </c>
      <c r="F736" s="2">
        <v>9.4</v>
      </c>
      <c r="G736" s="4">
        <v>60</v>
      </c>
      <c r="H736" t="s">
        <v>26</v>
      </c>
      <c r="I736" t="s">
        <v>20</v>
      </c>
      <c r="J736" t="s">
        <v>37</v>
      </c>
      <c r="K736" s="2">
        <v>88226</v>
      </c>
      <c r="L736" t="s">
        <v>22</v>
      </c>
      <c r="M736" s="2">
        <v>0.18</v>
      </c>
      <c r="N736" s="2">
        <v>0.7</v>
      </c>
      <c r="O736" s="2">
        <v>4663.03</v>
      </c>
      <c r="P736" s="2">
        <v>0</v>
      </c>
      <c r="Q736">
        <f t="shared" si="44"/>
        <v>54834.285714285717</v>
      </c>
      <c r="R736">
        <f t="shared" ca="1" si="45"/>
        <v>38</v>
      </c>
      <c r="S736" s="2">
        <f t="shared" si="46"/>
        <v>-33720.97</v>
      </c>
      <c r="T736" s="18">
        <v>0.1</v>
      </c>
      <c r="U736">
        <f t="shared" si="47"/>
        <v>-37093.067000000003</v>
      </c>
    </row>
    <row r="737" spans="1:21" x14ac:dyDescent="0.3">
      <c r="A737" t="s">
        <v>1516</v>
      </c>
      <c r="B737" s="1">
        <v>44421</v>
      </c>
      <c r="C737" t="s">
        <v>1517</v>
      </c>
      <c r="D737" s="3" t="s">
        <v>56</v>
      </c>
      <c r="E737" s="2">
        <v>17393</v>
      </c>
      <c r="F737" s="2">
        <v>19.7</v>
      </c>
      <c r="G737" s="4">
        <v>60</v>
      </c>
      <c r="H737" t="s">
        <v>26</v>
      </c>
      <c r="I737" t="s">
        <v>57</v>
      </c>
      <c r="J737" t="s">
        <v>32</v>
      </c>
      <c r="K737" s="2">
        <v>58810</v>
      </c>
      <c r="L737" t="s">
        <v>22</v>
      </c>
      <c r="M737" s="2">
        <v>0.15</v>
      </c>
      <c r="N737" s="2">
        <v>0.71</v>
      </c>
      <c r="O737" s="2">
        <v>2401.1</v>
      </c>
      <c r="P737" s="2">
        <v>0</v>
      </c>
      <c r="Q737">
        <f t="shared" si="44"/>
        <v>24497.183098591551</v>
      </c>
      <c r="R737">
        <f t="shared" ca="1" si="45"/>
        <v>55</v>
      </c>
      <c r="S737" s="2">
        <f t="shared" si="46"/>
        <v>-14991.9</v>
      </c>
      <c r="T737" s="18">
        <v>0.1</v>
      </c>
      <c r="U737">
        <f t="shared" si="47"/>
        <v>-16491.09</v>
      </c>
    </row>
    <row r="738" spans="1:21" x14ac:dyDescent="0.3">
      <c r="A738" t="s">
        <v>1518</v>
      </c>
      <c r="B738" s="1">
        <v>44728</v>
      </c>
      <c r="C738" t="s">
        <v>1519</v>
      </c>
      <c r="D738" s="3" t="s">
        <v>50</v>
      </c>
      <c r="E738" s="2">
        <v>11617</v>
      </c>
      <c r="F738" s="2">
        <v>20.3</v>
      </c>
      <c r="G738" s="4">
        <v>36</v>
      </c>
      <c r="H738" t="s">
        <v>26</v>
      </c>
      <c r="I738" t="s">
        <v>41</v>
      </c>
      <c r="J738" t="s">
        <v>32</v>
      </c>
      <c r="K738" s="2">
        <v>90006</v>
      </c>
      <c r="L738" t="s">
        <v>29</v>
      </c>
      <c r="M738" s="2">
        <v>0.36</v>
      </c>
      <c r="N738" s="2">
        <v>0.86</v>
      </c>
      <c r="O738" s="2">
        <v>5667.24</v>
      </c>
      <c r="P738" s="2">
        <v>0</v>
      </c>
      <c r="Q738">
        <f t="shared" si="44"/>
        <v>13508.139534883721</v>
      </c>
      <c r="R738">
        <f t="shared" ca="1" si="45"/>
        <v>45</v>
      </c>
      <c r="S738" s="2">
        <f t="shared" si="46"/>
        <v>-5949.76</v>
      </c>
      <c r="T738" s="18">
        <v>0.1</v>
      </c>
      <c r="U738">
        <f t="shared" si="47"/>
        <v>-6544.7360000000008</v>
      </c>
    </row>
    <row r="739" spans="1:21" x14ac:dyDescent="0.3">
      <c r="A739" t="s">
        <v>1520</v>
      </c>
      <c r="B739" s="1">
        <v>44309</v>
      </c>
      <c r="C739" t="s">
        <v>1521</v>
      </c>
      <c r="D739" s="3" t="s">
        <v>72</v>
      </c>
      <c r="E739" s="2">
        <v>39520</v>
      </c>
      <c r="F739" s="2">
        <v>23.6</v>
      </c>
      <c r="G739" s="4">
        <v>36</v>
      </c>
      <c r="H739" t="s">
        <v>19</v>
      </c>
      <c r="I739" t="s">
        <v>84</v>
      </c>
      <c r="J739" t="s">
        <v>32</v>
      </c>
      <c r="K739" s="2">
        <v>143502</v>
      </c>
      <c r="L739" t="s">
        <v>22</v>
      </c>
      <c r="M739" s="2">
        <v>0.23</v>
      </c>
      <c r="N739" s="2">
        <v>0.77</v>
      </c>
      <c r="O739" s="2">
        <v>48846.720000000001</v>
      </c>
      <c r="P739" s="2">
        <v>0</v>
      </c>
      <c r="Q739">
        <f t="shared" si="44"/>
        <v>51324.675324675321</v>
      </c>
      <c r="R739">
        <f t="shared" ca="1" si="45"/>
        <v>58</v>
      </c>
      <c r="S739" s="2">
        <f t="shared" si="46"/>
        <v>9326.7200000000012</v>
      </c>
      <c r="T739" s="18">
        <v>0.1</v>
      </c>
      <c r="U739">
        <f t="shared" si="47"/>
        <v>10259.392000000002</v>
      </c>
    </row>
    <row r="740" spans="1:21" x14ac:dyDescent="0.3">
      <c r="A740" t="s">
        <v>1522</v>
      </c>
      <c r="B740" s="1">
        <v>44336</v>
      </c>
      <c r="C740" t="s">
        <v>1523</v>
      </c>
      <c r="D740" s="3" t="s">
        <v>46</v>
      </c>
      <c r="E740" s="2">
        <v>10852</v>
      </c>
      <c r="F740" s="2">
        <v>5.6</v>
      </c>
      <c r="G740" s="4">
        <v>60</v>
      </c>
      <c r="H740" t="s">
        <v>19</v>
      </c>
      <c r="I740" t="s">
        <v>73</v>
      </c>
      <c r="J740" t="s">
        <v>32</v>
      </c>
      <c r="K740" s="2">
        <v>52800</v>
      </c>
      <c r="L740" t="s">
        <v>22</v>
      </c>
      <c r="M740" s="2">
        <v>0.12</v>
      </c>
      <c r="N740" s="2">
        <v>0.79</v>
      </c>
      <c r="O740" s="2">
        <v>11459.71</v>
      </c>
      <c r="P740" s="2">
        <v>0</v>
      </c>
      <c r="Q740">
        <f t="shared" si="44"/>
        <v>13736.708860759492</v>
      </c>
      <c r="R740">
        <f t="shared" ca="1" si="45"/>
        <v>57</v>
      </c>
      <c r="S740" s="2">
        <f t="shared" si="46"/>
        <v>607.70999999999913</v>
      </c>
      <c r="T740" s="18">
        <v>0.1</v>
      </c>
      <c r="U740">
        <f t="shared" si="47"/>
        <v>668.48099999999909</v>
      </c>
    </row>
    <row r="741" spans="1:21" x14ac:dyDescent="0.3">
      <c r="A741" t="s">
        <v>1524</v>
      </c>
      <c r="B741" s="1">
        <v>44755</v>
      </c>
      <c r="C741" t="s">
        <v>1525</v>
      </c>
      <c r="D741" s="3" t="s">
        <v>18</v>
      </c>
      <c r="E741" s="2">
        <v>32401</v>
      </c>
      <c r="F741" s="2">
        <v>22.4</v>
      </c>
      <c r="G741" s="4">
        <v>36</v>
      </c>
      <c r="H741" t="s">
        <v>60</v>
      </c>
      <c r="I741" t="s">
        <v>27</v>
      </c>
      <c r="J741" t="s">
        <v>32</v>
      </c>
      <c r="K741" s="2">
        <v>146192</v>
      </c>
      <c r="L741" t="s">
        <v>29</v>
      </c>
      <c r="M741" s="2">
        <v>0.16</v>
      </c>
      <c r="N741" s="2">
        <v>0.95</v>
      </c>
      <c r="O741" s="2">
        <v>0</v>
      </c>
      <c r="P741" s="2">
        <v>0</v>
      </c>
      <c r="Q741">
        <f t="shared" si="44"/>
        <v>34106.315789473687</v>
      </c>
      <c r="R741">
        <f t="shared" ca="1" si="45"/>
        <v>44</v>
      </c>
      <c r="S741" s="2">
        <f t="shared" si="46"/>
        <v>-32401</v>
      </c>
      <c r="T741" s="18">
        <v>0.1</v>
      </c>
      <c r="U741">
        <f t="shared" si="47"/>
        <v>-35641.100000000006</v>
      </c>
    </row>
    <row r="742" spans="1:21" x14ac:dyDescent="0.3">
      <c r="A742" t="s">
        <v>1526</v>
      </c>
      <c r="B742" s="1">
        <v>44197</v>
      </c>
      <c r="C742" t="s">
        <v>1527</v>
      </c>
      <c r="D742" s="3" t="s">
        <v>65</v>
      </c>
      <c r="E742" s="2">
        <v>7295</v>
      </c>
      <c r="F742" s="2">
        <v>15.5</v>
      </c>
      <c r="G742" s="4">
        <v>60</v>
      </c>
      <c r="H742" t="s">
        <v>19</v>
      </c>
      <c r="I742" t="s">
        <v>84</v>
      </c>
      <c r="J742" t="s">
        <v>37</v>
      </c>
      <c r="K742" s="2">
        <v>138959</v>
      </c>
      <c r="L742" t="s">
        <v>33</v>
      </c>
      <c r="M742" s="2">
        <v>0.1</v>
      </c>
      <c r="N742" s="2">
        <v>0.53</v>
      </c>
      <c r="O742" s="2">
        <v>8425.7199999999993</v>
      </c>
      <c r="P742" s="2">
        <v>0</v>
      </c>
      <c r="Q742">
        <f t="shared" si="44"/>
        <v>13764.150943396226</v>
      </c>
      <c r="R742">
        <f t="shared" ca="1" si="45"/>
        <v>62</v>
      </c>
      <c r="S742" s="2">
        <f t="shared" si="46"/>
        <v>1130.7199999999993</v>
      </c>
      <c r="T742" s="18">
        <v>0.1</v>
      </c>
      <c r="U742">
        <f t="shared" si="47"/>
        <v>1243.7919999999995</v>
      </c>
    </row>
    <row r="743" spans="1:21" x14ac:dyDescent="0.3">
      <c r="A743" t="s">
        <v>1528</v>
      </c>
      <c r="B743" s="1">
        <v>44286</v>
      </c>
      <c r="C743" t="s">
        <v>1529</v>
      </c>
      <c r="D743" s="3" t="s">
        <v>50</v>
      </c>
      <c r="E743" s="2">
        <v>36993</v>
      </c>
      <c r="F743" s="2">
        <v>17.7</v>
      </c>
      <c r="G743" s="4">
        <v>36</v>
      </c>
      <c r="H743" t="s">
        <v>26</v>
      </c>
      <c r="I743" t="s">
        <v>57</v>
      </c>
      <c r="J743" t="s">
        <v>21</v>
      </c>
      <c r="K743" s="2">
        <v>137228</v>
      </c>
      <c r="L743" t="s">
        <v>29</v>
      </c>
      <c r="M743" s="2">
        <v>0.46</v>
      </c>
      <c r="N743" s="2">
        <v>0.6</v>
      </c>
      <c r="O743" s="2">
        <v>4398.51</v>
      </c>
      <c r="P743" s="2">
        <v>0</v>
      </c>
      <c r="Q743">
        <f t="shared" si="44"/>
        <v>61655</v>
      </c>
      <c r="R743">
        <f t="shared" ca="1" si="45"/>
        <v>59</v>
      </c>
      <c r="S743" s="2">
        <f t="shared" si="46"/>
        <v>-32594.489999999998</v>
      </c>
      <c r="T743" s="18">
        <v>0.1</v>
      </c>
      <c r="U743">
        <f t="shared" si="47"/>
        <v>-35853.938999999998</v>
      </c>
    </row>
    <row r="744" spans="1:21" x14ac:dyDescent="0.3">
      <c r="A744" t="s">
        <v>1530</v>
      </c>
      <c r="B744" s="1">
        <v>44850</v>
      </c>
      <c r="C744" t="s">
        <v>1531</v>
      </c>
      <c r="D744" s="3" t="s">
        <v>18</v>
      </c>
      <c r="E744" s="2">
        <v>35084</v>
      </c>
      <c r="F744" s="2">
        <v>17.899999999999999</v>
      </c>
      <c r="G744" s="4">
        <v>36</v>
      </c>
      <c r="H744" t="s">
        <v>19</v>
      </c>
      <c r="I744" t="s">
        <v>36</v>
      </c>
      <c r="J744" t="s">
        <v>28</v>
      </c>
      <c r="K744" s="2">
        <v>105476</v>
      </c>
      <c r="L744" t="s">
        <v>29</v>
      </c>
      <c r="M744" s="2">
        <v>0.11</v>
      </c>
      <c r="N744" s="2">
        <v>0.68</v>
      </c>
      <c r="O744" s="2">
        <v>41364.04</v>
      </c>
      <c r="P744" s="2">
        <v>0</v>
      </c>
      <c r="Q744">
        <f t="shared" si="44"/>
        <v>51594.117647058818</v>
      </c>
      <c r="R744">
        <f t="shared" ca="1" si="45"/>
        <v>41</v>
      </c>
      <c r="S744" s="2">
        <f t="shared" si="46"/>
        <v>6280.0400000000009</v>
      </c>
      <c r="T744" s="18">
        <v>0.1</v>
      </c>
      <c r="U744">
        <f t="shared" si="47"/>
        <v>6908.0440000000017</v>
      </c>
    </row>
    <row r="745" spans="1:21" x14ac:dyDescent="0.3">
      <c r="A745" t="s">
        <v>1532</v>
      </c>
      <c r="B745" s="1">
        <v>44516</v>
      </c>
      <c r="C745" t="s">
        <v>1533</v>
      </c>
      <c r="D745" s="3" t="s">
        <v>46</v>
      </c>
      <c r="E745" s="2">
        <v>37451</v>
      </c>
      <c r="F745" s="2">
        <v>21.4</v>
      </c>
      <c r="G745" s="4">
        <v>60</v>
      </c>
      <c r="H745" t="s">
        <v>26</v>
      </c>
      <c r="I745" t="s">
        <v>73</v>
      </c>
      <c r="J745" t="s">
        <v>32</v>
      </c>
      <c r="K745" s="2">
        <v>99460</v>
      </c>
      <c r="L745" t="s">
        <v>29</v>
      </c>
      <c r="M745" s="2">
        <v>0.18</v>
      </c>
      <c r="N745" s="2">
        <v>0.66</v>
      </c>
      <c r="O745" s="2">
        <v>6410.55</v>
      </c>
      <c r="P745" s="2">
        <v>0</v>
      </c>
      <c r="Q745">
        <f t="shared" si="44"/>
        <v>56743.939393939392</v>
      </c>
      <c r="R745">
        <f t="shared" ca="1" si="45"/>
        <v>52</v>
      </c>
      <c r="S745" s="2">
        <f t="shared" si="46"/>
        <v>-31040.45</v>
      </c>
      <c r="T745" s="18">
        <v>0.1</v>
      </c>
      <c r="U745">
        <f t="shared" si="47"/>
        <v>-34144.495000000003</v>
      </c>
    </row>
    <row r="746" spans="1:21" x14ac:dyDescent="0.3">
      <c r="A746" t="s">
        <v>1534</v>
      </c>
      <c r="B746" s="1">
        <v>44335</v>
      </c>
      <c r="C746" t="s">
        <v>1535</v>
      </c>
      <c r="D746" s="3" t="s">
        <v>50</v>
      </c>
      <c r="E746" s="2">
        <v>8227</v>
      </c>
      <c r="F746" s="2">
        <v>11.7</v>
      </c>
      <c r="G746" s="4">
        <v>60</v>
      </c>
      <c r="H746" t="s">
        <v>26</v>
      </c>
      <c r="I746" t="s">
        <v>73</v>
      </c>
      <c r="J746" t="s">
        <v>21</v>
      </c>
      <c r="K746" s="2">
        <v>87767</v>
      </c>
      <c r="L746" t="s">
        <v>29</v>
      </c>
      <c r="M746" s="2">
        <v>0.27</v>
      </c>
      <c r="N746" s="2">
        <v>0.51</v>
      </c>
      <c r="O746" s="2">
        <v>2597.8000000000002</v>
      </c>
      <c r="P746" s="2">
        <v>0</v>
      </c>
      <c r="Q746">
        <f t="shared" si="44"/>
        <v>16131.372549019608</v>
      </c>
      <c r="R746">
        <f t="shared" ca="1" si="45"/>
        <v>58</v>
      </c>
      <c r="S746" s="2">
        <f t="shared" si="46"/>
        <v>-5629.2</v>
      </c>
      <c r="T746" s="18">
        <v>0.1</v>
      </c>
      <c r="U746">
        <f t="shared" si="47"/>
        <v>-6192.12</v>
      </c>
    </row>
    <row r="747" spans="1:21" x14ac:dyDescent="0.3">
      <c r="A747" t="s">
        <v>1536</v>
      </c>
      <c r="B747" s="1">
        <v>45041</v>
      </c>
      <c r="C747" t="s">
        <v>1537</v>
      </c>
      <c r="D747" s="3" t="s">
        <v>18</v>
      </c>
      <c r="E747" s="2">
        <v>32910</v>
      </c>
      <c r="F747" s="2">
        <v>19.7</v>
      </c>
      <c r="G747" s="4">
        <v>60</v>
      </c>
      <c r="H747" t="s">
        <v>19</v>
      </c>
      <c r="I747" t="s">
        <v>41</v>
      </c>
      <c r="J747" t="s">
        <v>47</v>
      </c>
      <c r="K747" s="2">
        <v>58054</v>
      </c>
      <c r="L747" t="s">
        <v>33</v>
      </c>
      <c r="M747" s="2">
        <v>0.24</v>
      </c>
      <c r="N747" s="2">
        <v>0.54</v>
      </c>
      <c r="O747" s="2">
        <v>39393.269999999997</v>
      </c>
      <c r="P747" s="2">
        <v>0</v>
      </c>
      <c r="Q747">
        <f t="shared" si="44"/>
        <v>60944.444444444438</v>
      </c>
      <c r="R747">
        <f t="shared" ca="1" si="45"/>
        <v>34</v>
      </c>
      <c r="S747" s="2">
        <f t="shared" si="46"/>
        <v>6483.2699999999968</v>
      </c>
      <c r="T747" s="18">
        <v>0.1</v>
      </c>
      <c r="U747">
        <f t="shared" si="47"/>
        <v>7131.596999999997</v>
      </c>
    </row>
    <row r="748" spans="1:21" x14ac:dyDescent="0.3">
      <c r="A748" t="s">
        <v>1538</v>
      </c>
      <c r="B748" s="1">
        <v>44455</v>
      </c>
      <c r="C748" t="s">
        <v>1539</v>
      </c>
      <c r="D748" s="3" t="s">
        <v>76</v>
      </c>
      <c r="E748" s="2">
        <v>37041</v>
      </c>
      <c r="F748" s="2">
        <v>15.6</v>
      </c>
      <c r="G748" s="4">
        <v>60</v>
      </c>
      <c r="H748" t="s">
        <v>19</v>
      </c>
      <c r="I748" t="s">
        <v>84</v>
      </c>
      <c r="J748" t="s">
        <v>37</v>
      </c>
      <c r="K748" s="2">
        <v>105319</v>
      </c>
      <c r="L748" t="s">
        <v>33</v>
      </c>
      <c r="M748" s="2">
        <v>0.46</v>
      </c>
      <c r="N748" s="2">
        <v>0.81</v>
      </c>
      <c r="O748" s="2">
        <v>42819.4</v>
      </c>
      <c r="P748" s="2">
        <v>0</v>
      </c>
      <c r="Q748">
        <f t="shared" si="44"/>
        <v>45729.629629629628</v>
      </c>
      <c r="R748">
        <f t="shared" ca="1" si="45"/>
        <v>54</v>
      </c>
      <c r="S748" s="2">
        <f t="shared" si="46"/>
        <v>5778.4000000000015</v>
      </c>
      <c r="T748" s="18">
        <v>0.1</v>
      </c>
      <c r="U748">
        <f t="shared" si="47"/>
        <v>6356.2400000000025</v>
      </c>
    </row>
    <row r="749" spans="1:21" x14ac:dyDescent="0.3">
      <c r="A749" t="s">
        <v>1540</v>
      </c>
      <c r="B749" s="1">
        <v>45098</v>
      </c>
      <c r="C749" t="s">
        <v>1541</v>
      </c>
      <c r="D749" s="3" t="s">
        <v>25</v>
      </c>
      <c r="E749" s="2">
        <v>24384</v>
      </c>
      <c r="F749" s="2">
        <v>20.9</v>
      </c>
      <c r="G749" s="4">
        <v>60</v>
      </c>
      <c r="H749" t="s">
        <v>26</v>
      </c>
      <c r="I749" t="s">
        <v>57</v>
      </c>
      <c r="J749" t="s">
        <v>21</v>
      </c>
      <c r="K749" s="2">
        <v>132789</v>
      </c>
      <c r="L749" t="s">
        <v>22</v>
      </c>
      <c r="M749" s="2">
        <v>0.12</v>
      </c>
      <c r="N749" s="2">
        <v>0.9</v>
      </c>
      <c r="O749" s="2">
        <v>7914.57</v>
      </c>
      <c r="P749" s="2">
        <v>0</v>
      </c>
      <c r="Q749">
        <f t="shared" si="44"/>
        <v>27093.333333333332</v>
      </c>
      <c r="R749">
        <f t="shared" ca="1" si="45"/>
        <v>32</v>
      </c>
      <c r="S749" s="2">
        <f t="shared" si="46"/>
        <v>-16469.43</v>
      </c>
      <c r="T749" s="18">
        <v>0.1</v>
      </c>
      <c r="U749">
        <f t="shared" si="47"/>
        <v>-18116.373000000003</v>
      </c>
    </row>
    <row r="750" spans="1:21" x14ac:dyDescent="0.3">
      <c r="A750" t="s">
        <v>1542</v>
      </c>
      <c r="B750" s="1">
        <v>44886</v>
      </c>
      <c r="C750" t="s">
        <v>1543</v>
      </c>
      <c r="D750" s="3" t="s">
        <v>46</v>
      </c>
      <c r="E750" s="2">
        <v>1145</v>
      </c>
      <c r="F750" s="2">
        <v>24.8</v>
      </c>
      <c r="G750" s="4">
        <v>60</v>
      </c>
      <c r="H750" t="s">
        <v>19</v>
      </c>
      <c r="I750" t="s">
        <v>20</v>
      </c>
      <c r="J750" t="s">
        <v>32</v>
      </c>
      <c r="K750" s="2">
        <v>75397</v>
      </c>
      <c r="L750" t="s">
        <v>22</v>
      </c>
      <c r="M750" s="2">
        <v>0.3</v>
      </c>
      <c r="N750" s="2">
        <v>0.73</v>
      </c>
      <c r="O750" s="2">
        <v>1428.96</v>
      </c>
      <c r="P750" s="2">
        <v>0</v>
      </c>
      <c r="Q750">
        <f t="shared" si="44"/>
        <v>1568.4931506849316</v>
      </c>
      <c r="R750">
        <f t="shared" ca="1" si="45"/>
        <v>39</v>
      </c>
      <c r="S750" s="2">
        <f t="shared" si="46"/>
        <v>283.96000000000004</v>
      </c>
      <c r="T750" s="18">
        <v>0.1</v>
      </c>
      <c r="U750">
        <f t="shared" si="47"/>
        <v>312.35600000000005</v>
      </c>
    </row>
    <row r="751" spans="1:21" x14ac:dyDescent="0.3">
      <c r="A751" t="s">
        <v>1544</v>
      </c>
      <c r="B751" s="1">
        <v>44206</v>
      </c>
      <c r="C751" t="s">
        <v>1545</v>
      </c>
      <c r="D751" s="3" t="s">
        <v>72</v>
      </c>
      <c r="E751" s="2">
        <v>38778</v>
      </c>
      <c r="F751" s="2">
        <v>9</v>
      </c>
      <c r="G751" s="4">
        <v>60</v>
      </c>
      <c r="H751" t="s">
        <v>19</v>
      </c>
      <c r="I751" t="s">
        <v>73</v>
      </c>
      <c r="J751" t="s">
        <v>32</v>
      </c>
      <c r="K751" s="2">
        <v>43233</v>
      </c>
      <c r="L751" t="s">
        <v>29</v>
      </c>
      <c r="M751" s="2">
        <v>0.37</v>
      </c>
      <c r="N751" s="2">
        <v>0.74</v>
      </c>
      <c r="O751" s="2">
        <v>42268.02</v>
      </c>
      <c r="P751" s="2">
        <v>0</v>
      </c>
      <c r="Q751">
        <f t="shared" si="44"/>
        <v>52402.7027027027</v>
      </c>
      <c r="R751">
        <f t="shared" ca="1" si="45"/>
        <v>62</v>
      </c>
      <c r="S751" s="2">
        <f t="shared" si="46"/>
        <v>3490.0199999999968</v>
      </c>
      <c r="T751" s="18">
        <v>0.1</v>
      </c>
      <c r="U751">
        <f t="shared" si="47"/>
        <v>3839.0219999999968</v>
      </c>
    </row>
    <row r="752" spans="1:21" x14ac:dyDescent="0.3">
      <c r="A752" t="s">
        <v>1546</v>
      </c>
      <c r="B752" s="1">
        <v>44457</v>
      </c>
      <c r="C752" t="s">
        <v>1547</v>
      </c>
      <c r="D752" s="3" t="s">
        <v>40</v>
      </c>
      <c r="E752" s="2">
        <v>17035</v>
      </c>
      <c r="F752" s="2">
        <v>24.9</v>
      </c>
      <c r="G752" s="4">
        <v>36</v>
      </c>
      <c r="H752" t="s">
        <v>26</v>
      </c>
      <c r="I752" t="s">
        <v>27</v>
      </c>
      <c r="J752" t="s">
        <v>32</v>
      </c>
      <c r="K752" s="2">
        <v>141205</v>
      </c>
      <c r="L752" t="s">
        <v>22</v>
      </c>
      <c r="M752" s="2">
        <v>0.47</v>
      </c>
      <c r="N752" s="2">
        <v>0.61</v>
      </c>
      <c r="O752" s="2">
        <v>2032.08</v>
      </c>
      <c r="P752" s="2">
        <v>0</v>
      </c>
      <c r="Q752">
        <f t="shared" si="44"/>
        <v>27926.22950819672</v>
      </c>
      <c r="R752">
        <f t="shared" ca="1" si="45"/>
        <v>54</v>
      </c>
      <c r="S752" s="2">
        <f t="shared" si="46"/>
        <v>-15002.92</v>
      </c>
      <c r="T752" s="18">
        <v>0.1</v>
      </c>
      <c r="U752">
        <f t="shared" si="47"/>
        <v>-16503.212000000003</v>
      </c>
    </row>
    <row r="753" spans="1:21" x14ac:dyDescent="0.3">
      <c r="A753" t="s">
        <v>1548</v>
      </c>
      <c r="B753" s="1">
        <v>44368</v>
      </c>
      <c r="C753" t="s">
        <v>1549</v>
      </c>
      <c r="D753" s="3" t="s">
        <v>76</v>
      </c>
      <c r="E753" s="2">
        <v>4040</v>
      </c>
      <c r="F753" s="2">
        <v>6.8</v>
      </c>
      <c r="G753" s="4">
        <v>36</v>
      </c>
      <c r="H753" t="s">
        <v>19</v>
      </c>
      <c r="I753" t="s">
        <v>27</v>
      </c>
      <c r="J753" t="s">
        <v>21</v>
      </c>
      <c r="K753" s="2">
        <v>120020</v>
      </c>
      <c r="L753" t="s">
        <v>33</v>
      </c>
      <c r="M753" s="2">
        <v>0.35</v>
      </c>
      <c r="N753" s="2">
        <v>0.85</v>
      </c>
      <c r="O753" s="2">
        <v>4314.72</v>
      </c>
      <c r="P753" s="2">
        <v>0</v>
      </c>
      <c r="Q753">
        <f t="shared" si="44"/>
        <v>4752.9411764705883</v>
      </c>
      <c r="R753">
        <f t="shared" ca="1" si="45"/>
        <v>56</v>
      </c>
      <c r="S753" s="2">
        <f t="shared" si="46"/>
        <v>274.72000000000025</v>
      </c>
      <c r="T753" s="18">
        <v>0.1</v>
      </c>
      <c r="U753">
        <f t="shared" si="47"/>
        <v>302.19200000000029</v>
      </c>
    </row>
    <row r="754" spans="1:21" x14ac:dyDescent="0.3">
      <c r="A754" t="s">
        <v>1550</v>
      </c>
      <c r="B754" s="1">
        <v>45094</v>
      </c>
      <c r="C754" t="s">
        <v>1551</v>
      </c>
      <c r="D754" s="3" t="s">
        <v>25</v>
      </c>
      <c r="E754" s="2">
        <v>27160</v>
      </c>
      <c r="F754" s="2">
        <v>5</v>
      </c>
      <c r="G754" s="4">
        <v>36</v>
      </c>
      <c r="H754" t="s">
        <v>81</v>
      </c>
      <c r="I754" t="s">
        <v>41</v>
      </c>
      <c r="J754" t="s">
        <v>32</v>
      </c>
      <c r="K754" s="2">
        <v>55068</v>
      </c>
      <c r="L754" t="s">
        <v>22</v>
      </c>
      <c r="M754" s="2">
        <v>0.42</v>
      </c>
      <c r="N754" s="2">
        <v>0.84</v>
      </c>
      <c r="O754" s="2">
        <v>9183.2099999999991</v>
      </c>
      <c r="P754" s="2">
        <v>3538.73</v>
      </c>
      <c r="Q754">
        <f t="shared" si="44"/>
        <v>32333.333333333336</v>
      </c>
      <c r="R754">
        <f t="shared" ca="1" si="45"/>
        <v>33</v>
      </c>
      <c r="S754" s="2">
        <f t="shared" si="46"/>
        <v>-14438.060000000001</v>
      </c>
      <c r="T754" s="18">
        <v>0.1</v>
      </c>
      <c r="U754">
        <f t="shared" si="47"/>
        <v>-15881.866000000004</v>
      </c>
    </row>
    <row r="755" spans="1:21" x14ac:dyDescent="0.3">
      <c r="A755" t="s">
        <v>1552</v>
      </c>
      <c r="B755" s="1">
        <v>44209</v>
      </c>
      <c r="C755" t="s">
        <v>1553</v>
      </c>
      <c r="D755" s="3" t="s">
        <v>53</v>
      </c>
      <c r="E755" s="2">
        <v>18633</v>
      </c>
      <c r="F755" s="2">
        <v>5.9</v>
      </c>
      <c r="G755" s="4">
        <v>60</v>
      </c>
      <c r="H755" t="s">
        <v>19</v>
      </c>
      <c r="I755" t="s">
        <v>84</v>
      </c>
      <c r="J755" t="s">
        <v>21</v>
      </c>
      <c r="K755" s="2">
        <v>95727</v>
      </c>
      <c r="L755" t="s">
        <v>22</v>
      </c>
      <c r="M755" s="2">
        <v>0.13</v>
      </c>
      <c r="N755" s="2">
        <v>0.76</v>
      </c>
      <c r="O755" s="2">
        <v>19732.349999999999</v>
      </c>
      <c r="P755" s="2">
        <v>0</v>
      </c>
      <c r="Q755">
        <f t="shared" si="44"/>
        <v>24517.105263157893</v>
      </c>
      <c r="R755">
        <f t="shared" ca="1" si="45"/>
        <v>62</v>
      </c>
      <c r="S755" s="2">
        <f t="shared" si="46"/>
        <v>1099.3499999999985</v>
      </c>
      <c r="T755" s="18">
        <v>0.1</v>
      </c>
      <c r="U755">
        <f t="shared" si="47"/>
        <v>1209.2849999999985</v>
      </c>
    </row>
    <row r="756" spans="1:21" x14ac:dyDescent="0.3">
      <c r="A756" t="s">
        <v>1554</v>
      </c>
      <c r="B756" s="1">
        <v>44517</v>
      </c>
      <c r="C756" t="s">
        <v>1555</v>
      </c>
      <c r="D756" s="3" t="s">
        <v>25</v>
      </c>
      <c r="E756" s="2">
        <v>30344</v>
      </c>
      <c r="F756" s="2">
        <v>11.8</v>
      </c>
      <c r="G756" s="4">
        <v>60</v>
      </c>
      <c r="H756" t="s">
        <v>19</v>
      </c>
      <c r="I756" t="s">
        <v>57</v>
      </c>
      <c r="J756" t="s">
        <v>32</v>
      </c>
      <c r="K756" s="2">
        <v>120610</v>
      </c>
      <c r="L756" t="s">
        <v>22</v>
      </c>
      <c r="M756" s="2">
        <v>0.25</v>
      </c>
      <c r="N756" s="2">
        <v>0.6</v>
      </c>
      <c r="O756" s="2">
        <v>33924.589999999997</v>
      </c>
      <c r="P756" s="2">
        <v>0</v>
      </c>
      <c r="Q756">
        <f t="shared" si="44"/>
        <v>50573.333333333336</v>
      </c>
      <c r="R756">
        <f t="shared" ca="1" si="45"/>
        <v>52</v>
      </c>
      <c r="S756" s="2">
        <f t="shared" si="46"/>
        <v>3580.5899999999965</v>
      </c>
      <c r="T756" s="18">
        <v>0.1</v>
      </c>
      <c r="U756">
        <f t="shared" si="47"/>
        <v>3938.6489999999962</v>
      </c>
    </row>
    <row r="757" spans="1:21" x14ac:dyDescent="0.3">
      <c r="A757" t="s">
        <v>1556</v>
      </c>
      <c r="B757" s="1">
        <v>44525</v>
      </c>
      <c r="C757" t="s">
        <v>1557</v>
      </c>
      <c r="D757" s="3" t="s">
        <v>50</v>
      </c>
      <c r="E757" s="2">
        <v>18014</v>
      </c>
      <c r="F757" s="2">
        <v>17.7</v>
      </c>
      <c r="G757" s="4">
        <v>60</v>
      </c>
      <c r="H757" t="s">
        <v>26</v>
      </c>
      <c r="I757" t="s">
        <v>20</v>
      </c>
      <c r="J757" t="s">
        <v>47</v>
      </c>
      <c r="K757" s="2">
        <v>100453</v>
      </c>
      <c r="L757" t="s">
        <v>29</v>
      </c>
      <c r="M757" s="2">
        <v>0.25</v>
      </c>
      <c r="N757" s="2">
        <v>0.54</v>
      </c>
      <c r="O757" s="2">
        <v>7265.79</v>
      </c>
      <c r="P757" s="2">
        <v>0</v>
      </c>
      <c r="Q757">
        <f t="shared" si="44"/>
        <v>33359.259259259255</v>
      </c>
      <c r="R757">
        <f t="shared" ca="1" si="45"/>
        <v>51</v>
      </c>
      <c r="S757" s="2">
        <f t="shared" si="46"/>
        <v>-10748.21</v>
      </c>
      <c r="T757" s="18">
        <v>0.1</v>
      </c>
      <c r="U757">
        <f t="shared" si="47"/>
        <v>-11823.031000000001</v>
      </c>
    </row>
    <row r="758" spans="1:21" x14ac:dyDescent="0.3">
      <c r="A758" t="s">
        <v>1558</v>
      </c>
      <c r="B758" s="1">
        <v>44981</v>
      </c>
      <c r="C758" t="s">
        <v>1559</v>
      </c>
      <c r="D758" s="3" t="s">
        <v>56</v>
      </c>
      <c r="E758" s="2">
        <v>15996</v>
      </c>
      <c r="F758" s="2">
        <v>6.4</v>
      </c>
      <c r="G758" s="4">
        <v>36</v>
      </c>
      <c r="H758" t="s">
        <v>19</v>
      </c>
      <c r="I758" t="s">
        <v>73</v>
      </c>
      <c r="J758" t="s">
        <v>47</v>
      </c>
      <c r="K758" s="2">
        <v>134135</v>
      </c>
      <c r="L758" t="s">
        <v>22</v>
      </c>
      <c r="M758" s="2">
        <v>0.45</v>
      </c>
      <c r="N758" s="2">
        <v>0.53</v>
      </c>
      <c r="O758" s="2">
        <v>17019.740000000002</v>
      </c>
      <c r="P758" s="2">
        <v>0</v>
      </c>
      <c r="Q758">
        <f t="shared" si="44"/>
        <v>30181.132075471698</v>
      </c>
      <c r="R758">
        <f t="shared" ca="1" si="45"/>
        <v>36</v>
      </c>
      <c r="S758" s="2">
        <f t="shared" si="46"/>
        <v>1023.7400000000016</v>
      </c>
      <c r="T758" s="18">
        <v>0.1</v>
      </c>
      <c r="U758">
        <f t="shared" si="47"/>
        <v>1126.1140000000019</v>
      </c>
    </row>
    <row r="759" spans="1:21" x14ac:dyDescent="0.3">
      <c r="A759" t="s">
        <v>1560</v>
      </c>
      <c r="B759" s="1">
        <v>44973</v>
      </c>
      <c r="C759" t="s">
        <v>1561</v>
      </c>
      <c r="D759" s="3" t="s">
        <v>76</v>
      </c>
      <c r="E759" s="2">
        <v>12695</v>
      </c>
      <c r="F759" s="2">
        <v>5.0999999999999996</v>
      </c>
      <c r="G759" s="4">
        <v>60</v>
      </c>
      <c r="H759" t="s">
        <v>19</v>
      </c>
      <c r="I759" t="s">
        <v>27</v>
      </c>
      <c r="J759" t="s">
        <v>28</v>
      </c>
      <c r="K759" s="2">
        <v>55832</v>
      </c>
      <c r="L759" t="s">
        <v>33</v>
      </c>
      <c r="M759" s="2">
        <v>0.16</v>
      </c>
      <c r="N759" s="2">
        <v>0.77</v>
      </c>
      <c r="O759" s="2">
        <v>13342.44</v>
      </c>
      <c r="P759" s="2">
        <v>0</v>
      </c>
      <c r="Q759">
        <f t="shared" si="44"/>
        <v>16487.012987012986</v>
      </c>
      <c r="R759">
        <f t="shared" ca="1" si="45"/>
        <v>37</v>
      </c>
      <c r="S759" s="2">
        <f t="shared" si="46"/>
        <v>647.44000000000051</v>
      </c>
      <c r="T759" s="18">
        <v>0.1</v>
      </c>
      <c r="U759">
        <f t="shared" si="47"/>
        <v>712.18400000000065</v>
      </c>
    </row>
    <row r="760" spans="1:21" x14ac:dyDescent="0.3">
      <c r="A760" t="s">
        <v>1562</v>
      </c>
      <c r="B760" s="1">
        <v>45107</v>
      </c>
      <c r="C760" t="s">
        <v>1563</v>
      </c>
      <c r="D760" s="3" t="s">
        <v>53</v>
      </c>
      <c r="E760" s="2">
        <v>3852</v>
      </c>
      <c r="F760" s="2">
        <v>23.7</v>
      </c>
      <c r="G760" s="4">
        <v>60</v>
      </c>
      <c r="H760" t="s">
        <v>19</v>
      </c>
      <c r="I760" t="s">
        <v>73</v>
      </c>
      <c r="J760" t="s">
        <v>32</v>
      </c>
      <c r="K760" s="2">
        <v>138464</v>
      </c>
      <c r="L760" t="s">
        <v>33</v>
      </c>
      <c r="M760" s="2">
        <v>0.16</v>
      </c>
      <c r="N760" s="2">
        <v>0.87</v>
      </c>
      <c r="O760" s="2">
        <v>4764.92</v>
      </c>
      <c r="P760" s="2">
        <v>0</v>
      </c>
      <c r="Q760">
        <f t="shared" si="44"/>
        <v>4427.5862068965516</v>
      </c>
      <c r="R760">
        <f t="shared" ca="1" si="45"/>
        <v>32</v>
      </c>
      <c r="S760" s="2">
        <f t="shared" si="46"/>
        <v>912.92000000000007</v>
      </c>
      <c r="T760" s="18">
        <v>0.1</v>
      </c>
      <c r="U760">
        <f t="shared" si="47"/>
        <v>1004.2120000000002</v>
      </c>
    </row>
    <row r="761" spans="1:21" x14ac:dyDescent="0.3">
      <c r="A761" t="s">
        <v>1564</v>
      </c>
      <c r="B761" s="1">
        <v>44514</v>
      </c>
      <c r="C761" t="s">
        <v>1565</v>
      </c>
      <c r="D761" s="3" t="s">
        <v>50</v>
      </c>
      <c r="E761" s="2">
        <v>17014</v>
      </c>
      <c r="F761" s="2">
        <v>21.4</v>
      </c>
      <c r="G761" s="4">
        <v>36</v>
      </c>
      <c r="H761" t="s">
        <v>19</v>
      </c>
      <c r="I761" t="s">
        <v>73</v>
      </c>
      <c r="J761" t="s">
        <v>32</v>
      </c>
      <c r="K761" s="2">
        <v>116242</v>
      </c>
      <c r="L761" t="s">
        <v>33</v>
      </c>
      <c r="M761" s="2">
        <v>0.23</v>
      </c>
      <c r="N761" s="2">
        <v>0.89</v>
      </c>
      <c r="O761" s="2">
        <v>20655</v>
      </c>
      <c r="P761" s="2">
        <v>0</v>
      </c>
      <c r="Q761">
        <f t="shared" si="44"/>
        <v>19116.853932584268</v>
      </c>
      <c r="R761">
        <f t="shared" ca="1" si="45"/>
        <v>52</v>
      </c>
      <c r="S761" s="2">
        <f t="shared" si="46"/>
        <v>3641</v>
      </c>
      <c r="T761" s="18">
        <v>0.1</v>
      </c>
      <c r="U761">
        <f t="shared" si="47"/>
        <v>4005.1000000000004</v>
      </c>
    </row>
    <row r="762" spans="1:21" x14ac:dyDescent="0.3">
      <c r="A762" t="s">
        <v>1566</v>
      </c>
      <c r="B762" s="1">
        <v>44432</v>
      </c>
      <c r="C762" t="s">
        <v>1567</v>
      </c>
      <c r="D762" s="3" t="s">
        <v>46</v>
      </c>
      <c r="E762" s="2">
        <v>28042</v>
      </c>
      <c r="F762" s="2">
        <v>21.2</v>
      </c>
      <c r="G762" s="4">
        <v>60</v>
      </c>
      <c r="H762" t="s">
        <v>19</v>
      </c>
      <c r="I762" t="s">
        <v>73</v>
      </c>
      <c r="J762" t="s">
        <v>21</v>
      </c>
      <c r="K762" s="2">
        <v>43682</v>
      </c>
      <c r="L762" t="s">
        <v>33</v>
      </c>
      <c r="M762" s="2">
        <v>0.12</v>
      </c>
      <c r="N762" s="2">
        <v>0.71</v>
      </c>
      <c r="O762" s="2">
        <v>33986.9</v>
      </c>
      <c r="P762" s="2">
        <v>0</v>
      </c>
      <c r="Q762">
        <f t="shared" si="44"/>
        <v>39495.774647887323</v>
      </c>
      <c r="R762">
        <f t="shared" ca="1" si="45"/>
        <v>54</v>
      </c>
      <c r="S762" s="2">
        <f t="shared" si="46"/>
        <v>5944.9000000000015</v>
      </c>
      <c r="T762" s="18">
        <v>0.1</v>
      </c>
      <c r="U762">
        <f t="shared" si="47"/>
        <v>6539.3900000000021</v>
      </c>
    </row>
    <row r="763" spans="1:21" x14ac:dyDescent="0.3">
      <c r="A763" t="s">
        <v>1568</v>
      </c>
      <c r="B763" s="1">
        <v>44530</v>
      </c>
      <c r="C763" t="s">
        <v>1569</v>
      </c>
      <c r="D763" s="3" t="s">
        <v>72</v>
      </c>
      <c r="E763" s="2">
        <v>34755</v>
      </c>
      <c r="F763" s="2">
        <v>22.7</v>
      </c>
      <c r="G763" s="4">
        <v>36</v>
      </c>
      <c r="H763" t="s">
        <v>19</v>
      </c>
      <c r="I763" t="s">
        <v>57</v>
      </c>
      <c r="J763" t="s">
        <v>21</v>
      </c>
      <c r="K763" s="2">
        <v>122298</v>
      </c>
      <c r="L763" t="s">
        <v>22</v>
      </c>
      <c r="M763" s="2">
        <v>0.17</v>
      </c>
      <c r="N763" s="2">
        <v>0.85</v>
      </c>
      <c r="O763" s="2">
        <v>42644.38</v>
      </c>
      <c r="P763" s="2">
        <v>0</v>
      </c>
      <c r="Q763">
        <f t="shared" si="44"/>
        <v>40888.23529411765</v>
      </c>
      <c r="R763">
        <f t="shared" ca="1" si="45"/>
        <v>51</v>
      </c>
      <c r="S763" s="2">
        <f t="shared" si="46"/>
        <v>7889.3799999999974</v>
      </c>
      <c r="T763" s="18">
        <v>0.1</v>
      </c>
      <c r="U763">
        <f t="shared" si="47"/>
        <v>8678.3179999999975</v>
      </c>
    </row>
    <row r="764" spans="1:21" x14ac:dyDescent="0.3">
      <c r="A764" t="s">
        <v>1570</v>
      </c>
      <c r="B764" s="1">
        <v>44572</v>
      </c>
      <c r="C764" t="s">
        <v>1571</v>
      </c>
      <c r="D764" s="3" t="s">
        <v>25</v>
      </c>
      <c r="E764" s="2">
        <v>24711</v>
      </c>
      <c r="F764" s="2">
        <v>19</v>
      </c>
      <c r="G764" s="4">
        <v>36</v>
      </c>
      <c r="H764" t="s">
        <v>19</v>
      </c>
      <c r="I764" t="s">
        <v>57</v>
      </c>
      <c r="J764" t="s">
        <v>32</v>
      </c>
      <c r="K764" s="2">
        <v>53383</v>
      </c>
      <c r="L764" t="s">
        <v>29</v>
      </c>
      <c r="M764" s="2">
        <v>0.49</v>
      </c>
      <c r="N764" s="2">
        <v>0.93</v>
      </c>
      <c r="O764" s="2">
        <v>29406.09</v>
      </c>
      <c r="P764" s="2">
        <v>0</v>
      </c>
      <c r="Q764">
        <f t="shared" si="44"/>
        <v>26570.967741935481</v>
      </c>
      <c r="R764">
        <f t="shared" ca="1" si="45"/>
        <v>50</v>
      </c>
      <c r="S764" s="2">
        <f t="shared" si="46"/>
        <v>4695.09</v>
      </c>
      <c r="T764" s="18">
        <v>0.1</v>
      </c>
      <c r="U764">
        <f t="shared" si="47"/>
        <v>5164.5990000000002</v>
      </c>
    </row>
    <row r="765" spans="1:21" x14ac:dyDescent="0.3">
      <c r="A765" t="s">
        <v>1572</v>
      </c>
      <c r="B765" s="1">
        <v>44784</v>
      </c>
      <c r="C765" t="s">
        <v>1573</v>
      </c>
      <c r="D765" s="3" t="s">
        <v>46</v>
      </c>
      <c r="E765" s="2">
        <v>27122</v>
      </c>
      <c r="F765" s="2">
        <v>7.1</v>
      </c>
      <c r="G765" s="4">
        <v>60</v>
      </c>
      <c r="H765" t="s">
        <v>19</v>
      </c>
      <c r="I765" t="s">
        <v>73</v>
      </c>
      <c r="J765" t="s">
        <v>28</v>
      </c>
      <c r="K765" s="2">
        <v>88160</v>
      </c>
      <c r="L765" t="s">
        <v>33</v>
      </c>
      <c r="M765" s="2">
        <v>0.27</v>
      </c>
      <c r="N765" s="2">
        <v>0.62</v>
      </c>
      <c r="O765" s="2">
        <v>29047.66</v>
      </c>
      <c r="P765" s="2">
        <v>0</v>
      </c>
      <c r="Q765">
        <f t="shared" si="44"/>
        <v>43745.161290322583</v>
      </c>
      <c r="R765">
        <f t="shared" ca="1" si="45"/>
        <v>43</v>
      </c>
      <c r="S765" s="2">
        <f t="shared" si="46"/>
        <v>1925.6599999999999</v>
      </c>
      <c r="T765" s="18">
        <v>0.1</v>
      </c>
      <c r="U765">
        <f t="shared" si="47"/>
        <v>2118.2260000000001</v>
      </c>
    </row>
    <row r="766" spans="1:21" x14ac:dyDescent="0.3">
      <c r="A766" t="s">
        <v>1574</v>
      </c>
      <c r="B766" s="1">
        <v>44709</v>
      </c>
      <c r="C766" t="s">
        <v>1575</v>
      </c>
      <c r="D766" s="3" t="s">
        <v>53</v>
      </c>
      <c r="E766" s="2">
        <v>10160</v>
      </c>
      <c r="F766" s="2">
        <v>13</v>
      </c>
      <c r="G766" s="4">
        <v>60</v>
      </c>
      <c r="H766" t="s">
        <v>26</v>
      </c>
      <c r="I766" t="s">
        <v>20</v>
      </c>
      <c r="J766" t="s">
        <v>32</v>
      </c>
      <c r="K766" s="2">
        <v>123332</v>
      </c>
      <c r="L766" t="s">
        <v>33</v>
      </c>
      <c r="M766" s="2">
        <v>0.35</v>
      </c>
      <c r="N766" s="2">
        <v>0.68</v>
      </c>
      <c r="O766" s="2">
        <v>1593.02</v>
      </c>
      <c r="P766" s="2">
        <v>0</v>
      </c>
      <c r="Q766">
        <f t="shared" si="44"/>
        <v>14941.176470588234</v>
      </c>
      <c r="R766">
        <f t="shared" ca="1" si="45"/>
        <v>45</v>
      </c>
      <c r="S766" s="2">
        <f t="shared" si="46"/>
        <v>-8566.98</v>
      </c>
      <c r="T766" s="18">
        <v>0.1</v>
      </c>
      <c r="U766">
        <f t="shared" si="47"/>
        <v>-9423.6779999999999</v>
      </c>
    </row>
    <row r="767" spans="1:21" x14ac:dyDescent="0.3">
      <c r="A767" t="s">
        <v>1576</v>
      </c>
      <c r="B767" s="1">
        <v>45114</v>
      </c>
      <c r="C767" t="s">
        <v>1577</v>
      </c>
      <c r="D767" s="3" t="s">
        <v>50</v>
      </c>
      <c r="E767" s="2">
        <v>28213</v>
      </c>
      <c r="F767" s="2">
        <v>19.5</v>
      </c>
      <c r="G767" s="4">
        <v>60</v>
      </c>
      <c r="H767" t="s">
        <v>26</v>
      </c>
      <c r="I767" t="s">
        <v>57</v>
      </c>
      <c r="J767" t="s">
        <v>21</v>
      </c>
      <c r="K767" s="2">
        <v>53666</v>
      </c>
      <c r="L767" t="s">
        <v>29</v>
      </c>
      <c r="M767" s="2">
        <v>0.39</v>
      </c>
      <c r="N767" s="2">
        <v>0.92</v>
      </c>
      <c r="O767" s="2">
        <v>5075.51</v>
      </c>
      <c r="P767" s="2">
        <v>0</v>
      </c>
      <c r="Q767">
        <f t="shared" si="44"/>
        <v>30666.304347826084</v>
      </c>
      <c r="R767">
        <f t="shared" ca="1" si="45"/>
        <v>32</v>
      </c>
      <c r="S767" s="2">
        <f t="shared" si="46"/>
        <v>-23137.489999999998</v>
      </c>
      <c r="T767" s="18">
        <v>0.1</v>
      </c>
      <c r="U767">
        <f t="shared" si="47"/>
        <v>-25451.239000000001</v>
      </c>
    </row>
    <row r="768" spans="1:21" x14ac:dyDescent="0.3">
      <c r="A768" t="s">
        <v>1578</v>
      </c>
      <c r="B768" s="1">
        <v>45069</v>
      </c>
      <c r="C768" t="s">
        <v>1579</v>
      </c>
      <c r="D768" s="3" t="s">
        <v>56</v>
      </c>
      <c r="E768" s="2">
        <v>8421</v>
      </c>
      <c r="F768" s="2">
        <v>10.6</v>
      </c>
      <c r="G768" s="4">
        <v>36</v>
      </c>
      <c r="H768" t="s">
        <v>19</v>
      </c>
      <c r="I768" t="s">
        <v>57</v>
      </c>
      <c r="J768" t="s">
        <v>32</v>
      </c>
      <c r="K768" s="2">
        <v>88817</v>
      </c>
      <c r="L768" t="s">
        <v>29</v>
      </c>
      <c r="M768" s="2">
        <v>0.25</v>
      </c>
      <c r="N768" s="2">
        <v>0.65</v>
      </c>
      <c r="O768" s="2">
        <v>9313.6299999999992</v>
      </c>
      <c r="P768" s="2">
        <v>0</v>
      </c>
      <c r="Q768">
        <f t="shared" si="44"/>
        <v>12955.384615384615</v>
      </c>
      <c r="R768">
        <f t="shared" ca="1" si="45"/>
        <v>33</v>
      </c>
      <c r="S768" s="2">
        <f t="shared" si="46"/>
        <v>892.6299999999992</v>
      </c>
      <c r="T768" s="18">
        <v>0.1</v>
      </c>
      <c r="U768">
        <f t="shared" si="47"/>
        <v>981.89299999999923</v>
      </c>
    </row>
    <row r="769" spans="1:21" x14ac:dyDescent="0.3">
      <c r="A769" t="s">
        <v>1580</v>
      </c>
      <c r="B769" s="1">
        <v>44466</v>
      </c>
      <c r="C769" t="s">
        <v>1581</v>
      </c>
      <c r="D769" s="3" t="s">
        <v>25</v>
      </c>
      <c r="E769" s="2">
        <v>22400</v>
      </c>
      <c r="F769" s="2">
        <v>18.7</v>
      </c>
      <c r="G769" s="4">
        <v>36</v>
      </c>
      <c r="H769" t="s">
        <v>26</v>
      </c>
      <c r="I769" t="s">
        <v>73</v>
      </c>
      <c r="J769" t="s">
        <v>21</v>
      </c>
      <c r="K769" s="2">
        <v>121198</v>
      </c>
      <c r="L769" t="s">
        <v>33</v>
      </c>
      <c r="M769" s="2">
        <v>0.16</v>
      </c>
      <c r="N769" s="2">
        <v>0.91</v>
      </c>
      <c r="O769" s="2">
        <v>10574.92</v>
      </c>
      <c r="P769" s="2">
        <v>0</v>
      </c>
      <c r="Q769">
        <f t="shared" si="44"/>
        <v>24615.384615384613</v>
      </c>
      <c r="R769">
        <f t="shared" ca="1" si="45"/>
        <v>53</v>
      </c>
      <c r="S769" s="2">
        <f t="shared" si="46"/>
        <v>-11825.08</v>
      </c>
      <c r="T769" s="18">
        <v>0.1</v>
      </c>
      <c r="U769">
        <f t="shared" si="47"/>
        <v>-13007.588000000002</v>
      </c>
    </row>
    <row r="770" spans="1:21" x14ac:dyDescent="0.3">
      <c r="A770" t="s">
        <v>1582</v>
      </c>
      <c r="B770" s="1">
        <v>44994</v>
      </c>
      <c r="C770" t="s">
        <v>1583</v>
      </c>
      <c r="D770" s="3" t="s">
        <v>72</v>
      </c>
      <c r="E770" s="2">
        <v>34537</v>
      </c>
      <c r="F770" s="2">
        <v>5.5</v>
      </c>
      <c r="G770" s="4">
        <v>36</v>
      </c>
      <c r="H770" t="s">
        <v>26</v>
      </c>
      <c r="I770" t="s">
        <v>20</v>
      </c>
      <c r="J770" t="s">
        <v>32</v>
      </c>
      <c r="K770" s="2">
        <v>140695</v>
      </c>
      <c r="L770" t="s">
        <v>33</v>
      </c>
      <c r="M770" s="2">
        <v>0.18</v>
      </c>
      <c r="N770" s="2">
        <v>0.94</v>
      </c>
      <c r="O770" s="2">
        <v>14559.15</v>
      </c>
      <c r="P770" s="2">
        <v>0</v>
      </c>
      <c r="Q770">
        <f t="shared" si="44"/>
        <v>36741.48936170213</v>
      </c>
      <c r="R770">
        <f t="shared" ca="1" si="45"/>
        <v>36</v>
      </c>
      <c r="S770" s="2">
        <f t="shared" si="46"/>
        <v>-19977.849999999999</v>
      </c>
      <c r="T770" s="18">
        <v>0.1</v>
      </c>
      <c r="U770">
        <f t="shared" si="47"/>
        <v>-21975.634999999998</v>
      </c>
    </row>
    <row r="771" spans="1:21" x14ac:dyDescent="0.3">
      <c r="A771" t="s">
        <v>1584</v>
      </c>
      <c r="B771" s="1">
        <v>44921</v>
      </c>
      <c r="C771" t="s">
        <v>1585</v>
      </c>
      <c r="D771" s="3" t="s">
        <v>56</v>
      </c>
      <c r="E771" s="2">
        <v>18727</v>
      </c>
      <c r="F771" s="2">
        <v>11.1</v>
      </c>
      <c r="G771" s="4">
        <v>60</v>
      </c>
      <c r="H771" t="s">
        <v>26</v>
      </c>
      <c r="I771" t="s">
        <v>84</v>
      </c>
      <c r="J771" t="s">
        <v>37</v>
      </c>
      <c r="K771" s="2">
        <v>64642</v>
      </c>
      <c r="L771" t="s">
        <v>29</v>
      </c>
      <c r="M771" s="2">
        <v>0.23</v>
      </c>
      <c r="N771" s="2">
        <v>0.8</v>
      </c>
      <c r="O771" s="2">
        <v>6816.79</v>
      </c>
      <c r="P771" s="2">
        <v>0</v>
      </c>
      <c r="Q771">
        <f t="shared" ref="Q771:Q834" si="48">E771/N771</f>
        <v>23408.75</v>
      </c>
      <c r="R771">
        <f t="shared" ref="R771:R834" ca="1" si="49">DATEDIF(B771, TODAY(), "M")</f>
        <v>38</v>
      </c>
      <c r="S771" s="2">
        <f t="shared" ref="S771:S834" si="50">(O771+P771)-E771</f>
        <v>-11910.21</v>
      </c>
      <c r="T771" s="18">
        <v>0.1</v>
      </c>
      <c r="U771">
        <f t="shared" ref="U771:U834" si="51">S771*(1+T771)</f>
        <v>-13101.231</v>
      </c>
    </row>
    <row r="772" spans="1:21" x14ac:dyDescent="0.3">
      <c r="A772" t="s">
        <v>1586</v>
      </c>
      <c r="B772" s="1">
        <v>44201</v>
      </c>
      <c r="C772" t="s">
        <v>1587</v>
      </c>
      <c r="D772" s="3" t="s">
        <v>18</v>
      </c>
      <c r="E772" s="2">
        <v>5358</v>
      </c>
      <c r="F772" s="2">
        <v>16</v>
      </c>
      <c r="G772" s="4">
        <v>60</v>
      </c>
      <c r="H772" t="s">
        <v>26</v>
      </c>
      <c r="I772" t="s">
        <v>73</v>
      </c>
      <c r="J772" t="s">
        <v>21</v>
      </c>
      <c r="K772" s="2">
        <v>71830</v>
      </c>
      <c r="L772" t="s">
        <v>33</v>
      </c>
      <c r="M772" s="2">
        <v>0.35</v>
      </c>
      <c r="N772" s="2">
        <v>0.87</v>
      </c>
      <c r="O772" s="2">
        <v>466.17</v>
      </c>
      <c r="P772" s="2">
        <v>0</v>
      </c>
      <c r="Q772">
        <f t="shared" si="48"/>
        <v>6158.6206896551721</v>
      </c>
      <c r="R772">
        <f t="shared" ca="1" si="49"/>
        <v>62</v>
      </c>
      <c r="S772" s="2">
        <f t="shared" si="50"/>
        <v>-4891.83</v>
      </c>
      <c r="T772" s="18">
        <v>0.1</v>
      </c>
      <c r="U772">
        <f t="shared" si="51"/>
        <v>-5381.0129999999999</v>
      </c>
    </row>
    <row r="773" spans="1:21" x14ac:dyDescent="0.3">
      <c r="A773" t="s">
        <v>1588</v>
      </c>
      <c r="B773" s="1">
        <v>45047</v>
      </c>
      <c r="C773" t="s">
        <v>1589</v>
      </c>
      <c r="D773" s="3" t="s">
        <v>50</v>
      </c>
      <c r="E773" s="2">
        <v>29482</v>
      </c>
      <c r="F773" s="2">
        <v>17.600000000000001</v>
      </c>
      <c r="G773" s="4">
        <v>60</v>
      </c>
      <c r="H773" t="s">
        <v>19</v>
      </c>
      <c r="I773" t="s">
        <v>27</v>
      </c>
      <c r="J773" t="s">
        <v>28</v>
      </c>
      <c r="K773" s="2">
        <v>133067</v>
      </c>
      <c r="L773" t="s">
        <v>33</v>
      </c>
      <c r="M773" s="2">
        <v>0.26</v>
      </c>
      <c r="N773" s="2">
        <v>0.84</v>
      </c>
      <c r="O773" s="2">
        <v>34670.83</v>
      </c>
      <c r="P773" s="2">
        <v>0</v>
      </c>
      <c r="Q773">
        <f t="shared" si="48"/>
        <v>35097.619047619046</v>
      </c>
      <c r="R773">
        <f t="shared" ca="1" si="49"/>
        <v>34</v>
      </c>
      <c r="S773" s="2">
        <f t="shared" si="50"/>
        <v>5188.8300000000017</v>
      </c>
      <c r="T773" s="18">
        <v>0.1</v>
      </c>
      <c r="U773">
        <f t="shared" si="51"/>
        <v>5707.7130000000025</v>
      </c>
    </row>
    <row r="774" spans="1:21" x14ac:dyDescent="0.3">
      <c r="A774" t="s">
        <v>1590</v>
      </c>
      <c r="B774" s="1">
        <v>44274</v>
      </c>
      <c r="C774" t="s">
        <v>1591</v>
      </c>
      <c r="D774" s="3" t="s">
        <v>46</v>
      </c>
      <c r="E774" s="2">
        <v>33117</v>
      </c>
      <c r="F774" s="2">
        <v>16.5</v>
      </c>
      <c r="G774" s="4">
        <v>60</v>
      </c>
      <c r="H774" t="s">
        <v>81</v>
      </c>
      <c r="I774" t="s">
        <v>27</v>
      </c>
      <c r="J774" t="s">
        <v>37</v>
      </c>
      <c r="K774" s="2">
        <v>40234</v>
      </c>
      <c r="L774" t="s">
        <v>22</v>
      </c>
      <c r="M774" s="2">
        <v>0.1</v>
      </c>
      <c r="N774" s="2">
        <v>0.81</v>
      </c>
      <c r="O774" s="2">
        <v>7467.2</v>
      </c>
      <c r="P774" s="2">
        <v>5237.4799999999996</v>
      </c>
      <c r="Q774">
        <f t="shared" si="48"/>
        <v>40885.185185185182</v>
      </c>
      <c r="R774">
        <f t="shared" ca="1" si="49"/>
        <v>60</v>
      </c>
      <c r="S774" s="2">
        <f t="shared" si="50"/>
        <v>-20412.32</v>
      </c>
      <c r="T774" s="18">
        <v>0.1</v>
      </c>
      <c r="U774">
        <f t="shared" si="51"/>
        <v>-22453.552</v>
      </c>
    </row>
    <row r="775" spans="1:21" x14ac:dyDescent="0.3">
      <c r="A775" t="s">
        <v>1592</v>
      </c>
      <c r="B775" s="1">
        <v>44770</v>
      </c>
      <c r="C775" t="s">
        <v>1593</v>
      </c>
      <c r="D775" s="3" t="s">
        <v>25</v>
      </c>
      <c r="E775" s="2">
        <v>24164</v>
      </c>
      <c r="F775" s="2">
        <v>19</v>
      </c>
      <c r="G775" s="4">
        <v>36</v>
      </c>
      <c r="H775" t="s">
        <v>19</v>
      </c>
      <c r="I775" t="s">
        <v>57</v>
      </c>
      <c r="J775" t="s">
        <v>32</v>
      </c>
      <c r="K775" s="2">
        <v>87616</v>
      </c>
      <c r="L775" t="s">
        <v>29</v>
      </c>
      <c r="M775" s="2">
        <v>0.31</v>
      </c>
      <c r="N775" s="2">
        <v>0.64</v>
      </c>
      <c r="O775" s="2">
        <v>28755.16</v>
      </c>
      <c r="P775" s="2">
        <v>0</v>
      </c>
      <c r="Q775">
        <f t="shared" si="48"/>
        <v>37756.25</v>
      </c>
      <c r="R775">
        <f t="shared" ca="1" si="49"/>
        <v>43</v>
      </c>
      <c r="S775" s="2">
        <f t="shared" si="50"/>
        <v>4591.16</v>
      </c>
      <c r="T775" s="18">
        <v>0.1</v>
      </c>
      <c r="U775">
        <f t="shared" si="51"/>
        <v>5050.2759999999998</v>
      </c>
    </row>
    <row r="776" spans="1:21" x14ac:dyDescent="0.3">
      <c r="A776" t="s">
        <v>1594</v>
      </c>
      <c r="B776" s="1">
        <v>44328</v>
      </c>
      <c r="C776" t="s">
        <v>1595</v>
      </c>
      <c r="D776" s="3" t="s">
        <v>25</v>
      </c>
      <c r="E776" s="2">
        <v>32910</v>
      </c>
      <c r="F776" s="2">
        <v>5.0999999999999996</v>
      </c>
      <c r="G776" s="4">
        <v>36</v>
      </c>
      <c r="H776" t="s">
        <v>19</v>
      </c>
      <c r="I776" t="s">
        <v>73</v>
      </c>
      <c r="J776" t="s">
        <v>21</v>
      </c>
      <c r="K776" s="2">
        <v>39221</v>
      </c>
      <c r="L776" t="s">
        <v>22</v>
      </c>
      <c r="M776" s="2">
        <v>0.47</v>
      </c>
      <c r="N776" s="2">
        <v>0.53</v>
      </c>
      <c r="O776" s="2">
        <v>34588.410000000003</v>
      </c>
      <c r="P776" s="2">
        <v>0</v>
      </c>
      <c r="Q776">
        <f t="shared" si="48"/>
        <v>62094.339622641506</v>
      </c>
      <c r="R776">
        <f t="shared" ca="1" si="49"/>
        <v>58</v>
      </c>
      <c r="S776" s="2">
        <f t="shared" si="50"/>
        <v>1678.4100000000035</v>
      </c>
      <c r="T776" s="18">
        <v>0.1</v>
      </c>
      <c r="U776">
        <f t="shared" si="51"/>
        <v>1846.2510000000041</v>
      </c>
    </row>
    <row r="777" spans="1:21" x14ac:dyDescent="0.3">
      <c r="A777" t="s">
        <v>1596</v>
      </c>
      <c r="B777" s="1">
        <v>44797</v>
      </c>
      <c r="C777" t="s">
        <v>1597</v>
      </c>
      <c r="D777" s="3" t="s">
        <v>53</v>
      </c>
      <c r="E777" s="2">
        <v>33496</v>
      </c>
      <c r="F777" s="2">
        <v>7</v>
      </c>
      <c r="G777" s="4">
        <v>36</v>
      </c>
      <c r="H777" t="s">
        <v>26</v>
      </c>
      <c r="I777" t="s">
        <v>36</v>
      </c>
      <c r="J777" t="s">
        <v>37</v>
      </c>
      <c r="K777" s="2">
        <v>41410</v>
      </c>
      <c r="L777" t="s">
        <v>22</v>
      </c>
      <c r="M777" s="2">
        <v>0.42</v>
      </c>
      <c r="N777" s="2">
        <v>0.65</v>
      </c>
      <c r="O777" s="2">
        <v>10105.27</v>
      </c>
      <c r="P777" s="2">
        <v>0</v>
      </c>
      <c r="Q777">
        <f t="shared" si="48"/>
        <v>51532.307692307688</v>
      </c>
      <c r="R777">
        <f t="shared" ca="1" si="49"/>
        <v>42</v>
      </c>
      <c r="S777" s="2">
        <f t="shared" si="50"/>
        <v>-23390.73</v>
      </c>
      <c r="T777" s="18">
        <v>0.1</v>
      </c>
      <c r="U777">
        <f t="shared" si="51"/>
        <v>-25729.803</v>
      </c>
    </row>
    <row r="778" spans="1:21" x14ac:dyDescent="0.3">
      <c r="A778" t="s">
        <v>1598</v>
      </c>
      <c r="B778" s="1">
        <v>45262</v>
      </c>
      <c r="C778" t="s">
        <v>1599</v>
      </c>
      <c r="D778" s="3" t="s">
        <v>72</v>
      </c>
      <c r="E778" s="2">
        <v>30371</v>
      </c>
      <c r="F778" s="2">
        <v>22.4</v>
      </c>
      <c r="G778" s="4">
        <v>36</v>
      </c>
      <c r="H778" t="s">
        <v>19</v>
      </c>
      <c r="I778" t="s">
        <v>27</v>
      </c>
      <c r="J778" t="s">
        <v>28</v>
      </c>
      <c r="K778" s="2">
        <v>110055</v>
      </c>
      <c r="L778" t="s">
        <v>29</v>
      </c>
      <c r="M778" s="2">
        <v>0.43</v>
      </c>
      <c r="N778" s="2">
        <v>0.8</v>
      </c>
      <c r="O778" s="2">
        <v>37174.1</v>
      </c>
      <c r="P778" s="2">
        <v>0</v>
      </c>
      <c r="Q778">
        <f t="shared" si="48"/>
        <v>37963.75</v>
      </c>
      <c r="R778">
        <f t="shared" ca="1" si="49"/>
        <v>27</v>
      </c>
      <c r="S778" s="2">
        <f t="shared" si="50"/>
        <v>6803.0999999999985</v>
      </c>
      <c r="T778" s="18">
        <v>0.1</v>
      </c>
      <c r="U778">
        <f t="shared" si="51"/>
        <v>7483.4099999999989</v>
      </c>
    </row>
    <row r="779" spans="1:21" x14ac:dyDescent="0.3">
      <c r="A779" t="s">
        <v>1600</v>
      </c>
      <c r="B779" s="1">
        <v>44285</v>
      </c>
      <c r="C779" t="s">
        <v>1601</v>
      </c>
      <c r="D779" s="3" t="s">
        <v>40</v>
      </c>
      <c r="E779" s="2">
        <v>39467</v>
      </c>
      <c r="F779" s="2">
        <v>18.600000000000001</v>
      </c>
      <c r="G779" s="4">
        <v>60</v>
      </c>
      <c r="H779" t="s">
        <v>19</v>
      </c>
      <c r="I779" t="s">
        <v>41</v>
      </c>
      <c r="J779" t="s">
        <v>21</v>
      </c>
      <c r="K779" s="2">
        <v>91413</v>
      </c>
      <c r="L779" t="s">
        <v>22</v>
      </c>
      <c r="M779" s="2">
        <v>0.42</v>
      </c>
      <c r="N779" s="2">
        <v>0.55000000000000004</v>
      </c>
      <c r="O779" s="2">
        <v>46807.86</v>
      </c>
      <c r="P779" s="2">
        <v>0</v>
      </c>
      <c r="Q779">
        <f t="shared" si="48"/>
        <v>71758.181818181809</v>
      </c>
      <c r="R779">
        <f t="shared" ca="1" si="49"/>
        <v>59</v>
      </c>
      <c r="S779" s="2">
        <f t="shared" si="50"/>
        <v>7340.8600000000006</v>
      </c>
      <c r="T779" s="18">
        <v>0.1</v>
      </c>
      <c r="U779">
        <f t="shared" si="51"/>
        <v>8074.9460000000017</v>
      </c>
    </row>
    <row r="780" spans="1:21" x14ac:dyDescent="0.3">
      <c r="A780" t="s">
        <v>1602</v>
      </c>
      <c r="B780" s="1">
        <v>44598</v>
      </c>
      <c r="C780" t="s">
        <v>1603</v>
      </c>
      <c r="D780" s="3" t="s">
        <v>18</v>
      </c>
      <c r="E780" s="2">
        <v>18625</v>
      </c>
      <c r="F780" s="2">
        <v>7.3</v>
      </c>
      <c r="G780" s="4">
        <v>60</v>
      </c>
      <c r="H780" t="s">
        <v>26</v>
      </c>
      <c r="I780" t="s">
        <v>27</v>
      </c>
      <c r="J780" t="s">
        <v>37</v>
      </c>
      <c r="K780" s="2">
        <v>31051</v>
      </c>
      <c r="L780" t="s">
        <v>33</v>
      </c>
      <c r="M780" s="2">
        <v>0.23</v>
      </c>
      <c r="N780" s="2">
        <v>0.51</v>
      </c>
      <c r="O780" s="2">
        <v>2501.9899999999998</v>
      </c>
      <c r="P780" s="2">
        <v>0</v>
      </c>
      <c r="Q780">
        <f t="shared" si="48"/>
        <v>36519.607843137252</v>
      </c>
      <c r="R780">
        <f t="shared" ca="1" si="49"/>
        <v>49</v>
      </c>
      <c r="S780" s="2">
        <f t="shared" si="50"/>
        <v>-16123.01</v>
      </c>
      <c r="T780" s="18">
        <v>0.1</v>
      </c>
      <c r="U780">
        <f t="shared" si="51"/>
        <v>-17735.311000000002</v>
      </c>
    </row>
    <row r="781" spans="1:21" x14ac:dyDescent="0.3">
      <c r="A781" t="s">
        <v>1604</v>
      </c>
      <c r="B781" s="1">
        <v>44492</v>
      </c>
      <c r="C781" t="s">
        <v>1605</v>
      </c>
      <c r="D781" s="3" t="s">
        <v>56</v>
      </c>
      <c r="E781" s="2">
        <v>34893</v>
      </c>
      <c r="F781" s="2">
        <v>21.8</v>
      </c>
      <c r="G781" s="4">
        <v>60</v>
      </c>
      <c r="H781" t="s">
        <v>26</v>
      </c>
      <c r="I781" t="s">
        <v>20</v>
      </c>
      <c r="J781" t="s">
        <v>37</v>
      </c>
      <c r="K781" s="2">
        <v>140529</v>
      </c>
      <c r="L781" t="s">
        <v>22</v>
      </c>
      <c r="M781" s="2">
        <v>0.41</v>
      </c>
      <c r="N781" s="2">
        <v>0.56000000000000005</v>
      </c>
      <c r="O781" s="2">
        <v>8782.64</v>
      </c>
      <c r="P781" s="2">
        <v>0</v>
      </c>
      <c r="Q781">
        <f t="shared" si="48"/>
        <v>62308.928571428565</v>
      </c>
      <c r="R781">
        <f t="shared" ca="1" si="49"/>
        <v>52</v>
      </c>
      <c r="S781" s="2">
        <f t="shared" si="50"/>
        <v>-26110.36</v>
      </c>
      <c r="T781" s="18">
        <v>0.1</v>
      </c>
      <c r="U781">
        <f t="shared" si="51"/>
        <v>-28721.396000000004</v>
      </c>
    </row>
    <row r="782" spans="1:21" x14ac:dyDescent="0.3">
      <c r="A782" t="s">
        <v>1606</v>
      </c>
      <c r="B782" s="1">
        <v>44812</v>
      </c>
      <c r="C782" t="s">
        <v>1607</v>
      </c>
      <c r="D782" s="3" t="s">
        <v>76</v>
      </c>
      <c r="E782" s="2">
        <v>11793</v>
      </c>
      <c r="F782" s="2">
        <v>9.8000000000000007</v>
      </c>
      <c r="G782" s="4">
        <v>36</v>
      </c>
      <c r="H782" t="s">
        <v>26</v>
      </c>
      <c r="I782" t="s">
        <v>20</v>
      </c>
      <c r="J782" t="s">
        <v>37</v>
      </c>
      <c r="K782" s="2">
        <v>105301</v>
      </c>
      <c r="L782" t="s">
        <v>29</v>
      </c>
      <c r="M782" s="2">
        <v>0.16</v>
      </c>
      <c r="N782" s="2">
        <v>0.82</v>
      </c>
      <c r="O782" s="2">
        <v>3779.2</v>
      </c>
      <c r="P782" s="2">
        <v>0</v>
      </c>
      <c r="Q782">
        <f t="shared" si="48"/>
        <v>14381.707317073171</v>
      </c>
      <c r="R782">
        <f t="shared" ca="1" si="49"/>
        <v>42</v>
      </c>
      <c r="S782" s="2">
        <f t="shared" si="50"/>
        <v>-8013.8</v>
      </c>
      <c r="T782" s="18">
        <v>0.1</v>
      </c>
      <c r="U782">
        <f t="shared" si="51"/>
        <v>-8815.18</v>
      </c>
    </row>
    <row r="783" spans="1:21" x14ac:dyDescent="0.3">
      <c r="A783" t="s">
        <v>1608</v>
      </c>
      <c r="B783" s="1">
        <v>44996</v>
      </c>
      <c r="C783" t="s">
        <v>1609</v>
      </c>
      <c r="D783" s="3" t="s">
        <v>76</v>
      </c>
      <c r="E783" s="2">
        <v>32007</v>
      </c>
      <c r="F783" s="2">
        <v>14.6</v>
      </c>
      <c r="G783" s="4">
        <v>36</v>
      </c>
      <c r="H783" t="s">
        <v>26</v>
      </c>
      <c r="I783" t="s">
        <v>73</v>
      </c>
      <c r="J783" t="s">
        <v>47</v>
      </c>
      <c r="K783" s="2">
        <v>106918</v>
      </c>
      <c r="L783" t="s">
        <v>33</v>
      </c>
      <c r="M783" s="2">
        <v>0.36</v>
      </c>
      <c r="N783" s="2">
        <v>0.94</v>
      </c>
      <c r="O783" s="2">
        <v>6315.61</v>
      </c>
      <c r="P783" s="2">
        <v>0</v>
      </c>
      <c r="Q783">
        <f t="shared" si="48"/>
        <v>34050</v>
      </c>
      <c r="R783">
        <f t="shared" ca="1" si="49"/>
        <v>36</v>
      </c>
      <c r="S783" s="2">
        <f t="shared" si="50"/>
        <v>-25691.39</v>
      </c>
      <c r="T783" s="18">
        <v>0.1</v>
      </c>
      <c r="U783">
        <f t="shared" si="51"/>
        <v>-28260.529000000002</v>
      </c>
    </row>
    <row r="784" spans="1:21" x14ac:dyDescent="0.3">
      <c r="A784" t="s">
        <v>1610</v>
      </c>
      <c r="B784" s="1">
        <v>44618</v>
      </c>
      <c r="C784" t="s">
        <v>1611</v>
      </c>
      <c r="D784" s="3" t="s">
        <v>25</v>
      </c>
      <c r="E784" s="2">
        <v>26766</v>
      </c>
      <c r="F784" s="2">
        <v>7.9</v>
      </c>
      <c r="G784" s="4">
        <v>60</v>
      </c>
      <c r="H784" t="s">
        <v>19</v>
      </c>
      <c r="I784" t="s">
        <v>57</v>
      </c>
      <c r="J784" t="s">
        <v>32</v>
      </c>
      <c r="K784" s="2">
        <v>108116</v>
      </c>
      <c r="L784" t="s">
        <v>33</v>
      </c>
      <c r="M784" s="2">
        <v>0.36</v>
      </c>
      <c r="N784" s="2">
        <v>0.94</v>
      </c>
      <c r="O784" s="2">
        <v>28880.51</v>
      </c>
      <c r="P784" s="2">
        <v>0</v>
      </c>
      <c r="Q784">
        <f t="shared" si="48"/>
        <v>28474.468085106386</v>
      </c>
      <c r="R784">
        <f t="shared" ca="1" si="49"/>
        <v>48</v>
      </c>
      <c r="S784" s="2">
        <f t="shared" si="50"/>
        <v>2114.5099999999984</v>
      </c>
      <c r="T784" s="18">
        <v>0.1</v>
      </c>
      <c r="U784">
        <f t="shared" si="51"/>
        <v>2325.9609999999984</v>
      </c>
    </row>
    <row r="785" spans="1:21" x14ac:dyDescent="0.3">
      <c r="A785" t="s">
        <v>1612</v>
      </c>
      <c r="B785" s="1">
        <v>45243</v>
      </c>
      <c r="C785" t="s">
        <v>1613</v>
      </c>
      <c r="D785" s="3" t="s">
        <v>53</v>
      </c>
      <c r="E785" s="2">
        <v>13323</v>
      </c>
      <c r="F785" s="2">
        <v>19.2</v>
      </c>
      <c r="G785" s="4">
        <v>60</v>
      </c>
      <c r="H785" t="s">
        <v>19</v>
      </c>
      <c r="I785" t="s">
        <v>57</v>
      </c>
      <c r="J785" t="s">
        <v>21</v>
      </c>
      <c r="K785" s="2">
        <v>86563</v>
      </c>
      <c r="L785" t="s">
        <v>33</v>
      </c>
      <c r="M785" s="2">
        <v>0.11</v>
      </c>
      <c r="N785" s="2">
        <v>0.72</v>
      </c>
      <c r="O785" s="2">
        <v>15881.02</v>
      </c>
      <c r="P785" s="2">
        <v>0</v>
      </c>
      <c r="Q785">
        <f t="shared" si="48"/>
        <v>18504.166666666668</v>
      </c>
      <c r="R785">
        <f t="shared" ca="1" si="49"/>
        <v>28</v>
      </c>
      <c r="S785" s="2">
        <f t="shared" si="50"/>
        <v>2558.0200000000004</v>
      </c>
      <c r="T785" s="18">
        <v>0.1</v>
      </c>
      <c r="U785">
        <f t="shared" si="51"/>
        <v>2813.8220000000006</v>
      </c>
    </row>
    <row r="786" spans="1:21" x14ac:dyDescent="0.3">
      <c r="A786" t="s">
        <v>1614</v>
      </c>
      <c r="B786" s="1">
        <v>44771</v>
      </c>
      <c r="C786" t="s">
        <v>1615</v>
      </c>
      <c r="D786" s="3" t="s">
        <v>65</v>
      </c>
      <c r="E786" s="2">
        <v>8843</v>
      </c>
      <c r="F786" s="2">
        <v>18.3</v>
      </c>
      <c r="G786" s="4">
        <v>36</v>
      </c>
      <c r="H786" t="s">
        <v>26</v>
      </c>
      <c r="I786" t="s">
        <v>84</v>
      </c>
      <c r="J786" t="s">
        <v>21</v>
      </c>
      <c r="K786" s="2">
        <v>127859</v>
      </c>
      <c r="L786" t="s">
        <v>33</v>
      </c>
      <c r="M786" s="2">
        <v>0.42</v>
      </c>
      <c r="N786" s="2">
        <v>0.89</v>
      </c>
      <c r="O786" s="2">
        <v>3549.8</v>
      </c>
      <c r="P786" s="2">
        <v>0</v>
      </c>
      <c r="Q786">
        <f t="shared" si="48"/>
        <v>9935.9550561797751</v>
      </c>
      <c r="R786">
        <f t="shared" ca="1" si="49"/>
        <v>43</v>
      </c>
      <c r="S786" s="2">
        <f t="shared" si="50"/>
        <v>-5293.2</v>
      </c>
      <c r="T786" s="18">
        <v>0.1</v>
      </c>
      <c r="U786">
        <f t="shared" si="51"/>
        <v>-5822.52</v>
      </c>
    </row>
    <row r="787" spans="1:21" x14ac:dyDescent="0.3">
      <c r="A787" t="s">
        <v>1616</v>
      </c>
      <c r="B787" s="1">
        <v>44339</v>
      </c>
      <c r="C787" t="s">
        <v>1617</v>
      </c>
      <c r="D787" s="3" t="s">
        <v>25</v>
      </c>
      <c r="E787" s="2">
        <v>15210</v>
      </c>
      <c r="F787" s="2">
        <v>9.1999999999999993</v>
      </c>
      <c r="G787" s="4">
        <v>60</v>
      </c>
      <c r="H787" t="s">
        <v>19</v>
      </c>
      <c r="I787" t="s">
        <v>57</v>
      </c>
      <c r="J787" t="s">
        <v>21</v>
      </c>
      <c r="K787" s="2">
        <v>74757</v>
      </c>
      <c r="L787" t="s">
        <v>22</v>
      </c>
      <c r="M787" s="2">
        <v>0.46</v>
      </c>
      <c r="N787" s="2">
        <v>0.83</v>
      </c>
      <c r="O787" s="2">
        <v>16609.32</v>
      </c>
      <c r="P787" s="2">
        <v>0</v>
      </c>
      <c r="Q787">
        <f t="shared" si="48"/>
        <v>18325.30120481928</v>
      </c>
      <c r="R787">
        <f t="shared" ca="1" si="49"/>
        <v>57</v>
      </c>
      <c r="S787" s="2">
        <f t="shared" si="50"/>
        <v>1399.3199999999997</v>
      </c>
      <c r="T787" s="18">
        <v>0.1</v>
      </c>
      <c r="U787">
        <f t="shared" si="51"/>
        <v>1539.2519999999997</v>
      </c>
    </row>
    <row r="788" spans="1:21" x14ac:dyDescent="0.3">
      <c r="A788" t="s">
        <v>1618</v>
      </c>
      <c r="B788" s="1">
        <v>45189</v>
      </c>
      <c r="C788" t="s">
        <v>1619</v>
      </c>
      <c r="D788" s="3" t="s">
        <v>76</v>
      </c>
      <c r="E788" s="2">
        <v>17456</v>
      </c>
      <c r="F788" s="2">
        <v>22.3</v>
      </c>
      <c r="G788" s="4">
        <v>36</v>
      </c>
      <c r="H788" t="s">
        <v>26</v>
      </c>
      <c r="I788" t="s">
        <v>57</v>
      </c>
      <c r="J788" t="s">
        <v>37</v>
      </c>
      <c r="K788" s="2">
        <v>107475</v>
      </c>
      <c r="L788" t="s">
        <v>22</v>
      </c>
      <c r="M788" s="2">
        <v>0.21</v>
      </c>
      <c r="N788" s="2">
        <v>0.73</v>
      </c>
      <c r="O788" s="2">
        <v>7474.7</v>
      </c>
      <c r="P788" s="2">
        <v>0</v>
      </c>
      <c r="Q788">
        <f t="shared" si="48"/>
        <v>23912.328767123287</v>
      </c>
      <c r="R788">
        <f t="shared" ca="1" si="49"/>
        <v>29</v>
      </c>
      <c r="S788" s="2">
        <f t="shared" si="50"/>
        <v>-9981.2999999999993</v>
      </c>
      <c r="T788" s="18">
        <v>0.1</v>
      </c>
      <c r="U788">
        <f t="shared" si="51"/>
        <v>-10979.43</v>
      </c>
    </row>
    <row r="789" spans="1:21" x14ac:dyDescent="0.3">
      <c r="A789" t="s">
        <v>1620</v>
      </c>
      <c r="B789" s="1">
        <v>44861</v>
      </c>
      <c r="C789" t="s">
        <v>1621</v>
      </c>
      <c r="D789" s="3" t="s">
        <v>76</v>
      </c>
      <c r="E789" s="2">
        <v>32367</v>
      </c>
      <c r="F789" s="2">
        <v>13</v>
      </c>
      <c r="G789" s="4">
        <v>36</v>
      </c>
      <c r="H789" t="s">
        <v>19</v>
      </c>
      <c r="I789" t="s">
        <v>84</v>
      </c>
      <c r="J789" t="s">
        <v>32</v>
      </c>
      <c r="K789" s="2">
        <v>81257</v>
      </c>
      <c r="L789" t="s">
        <v>33</v>
      </c>
      <c r="M789" s="2">
        <v>0.42</v>
      </c>
      <c r="N789" s="2">
        <v>0.76</v>
      </c>
      <c r="O789" s="2">
        <v>36574.71</v>
      </c>
      <c r="P789" s="2">
        <v>0</v>
      </c>
      <c r="Q789">
        <f t="shared" si="48"/>
        <v>42588.15789473684</v>
      </c>
      <c r="R789">
        <f t="shared" ca="1" si="49"/>
        <v>40</v>
      </c>
      <c r="S789" s="2">
        <f t="shared" si="50"/>
        <v>4207.7099999999991</v>
      </c>
      <c r="T789" s="18">
        <v>0.1</v>
      </c>
      <c r="U789">
        <f t="shared" si="51"/>
        <v>4628.4809999999998</v>
      </c>
    </row>
    <row r="790" spans="1:21" x14ac:dyDescent="0.3">
      <c r="A790" t="s">
        <v>1622</v>
      </c>
      <c r="B790" s="1">
        <v>44341</v>
      </c>
      <c r="C790" t="s">
        <v>1623</v>
      </c>
      <c r="D790" s="3" t="s">
        <v>18</v>
      </c>
      <c r="E790" s="2">
        <v>11106</v>
      </c>
      <c r="F790" s="2">
        <v>10.9</v>
      </c>
      <c r="G790" s="4">
        <v>36</v>
      </c>
      <c r="H790" t="s">
        <v>19</v>
      </c>
      <c r="I790" t="s">
        <v>84</v>
      </c>
      <c r="J790" t="s">
        <v>28</v>
      </c>
      <c r="K790" s="2">
        <v>125500</v>
      </c>
      <c r="L790" t="s">
        <v>29</v>
      </c>
      <c r="M790" s="2">
        <v>0.13</v>
      </c>
      <c r="N790" s="2">
        <v>0.56000000000000005</v>
      </c>
      <c r="O790" s="2">
        <v>12316.55</v>
      </c>
      <c r="P790" s="2">
        <v>0</v>
      </c>
      <c r="Q790">
        <f t="shared" si="48"/>
        <v>19832.142857142855</v>
      </c>
      <c r="R790">
        <f t="shared" ca="1" si="49"/>
        <v>57</v>
      </c>
      <c r="S790" s="2">
        <f t="shared" si="50"/>
        <v>1210.5499999999993</v>
      </c>
      <c r="T790" s="18">
        <v>0.1</v>
      </c>
      <c r="U790">
        <f t="shared" si="51"/>
        <v>1331.6049999999993</v>
      </c>
    </row>
    <row r="791" spans="1:21" x14ac:dyDescent="0.3">
      <c r="A791" t="s">
        <v>1624</v>
      </c>
      <c r="B791" s="1">
        <v>45203</v>
      </c>
      <c r="C791" t="s">
        <v>1625</v>
      </c>
      <c r="D791" s="3" t="s">
        <v>46</v>
      </c>
      <c r="E791" s="2">
        <v>38957</v>
      </c>
      <c r="F791" s="2">
        <v>8</v>
      </c>
      <c r="G791" s="4">
        <v>60</v>
      </c>
      <c r="H791" t="s">
        <v>19</v>
      </c>
      <c r="I791" t="s">
        <v>57</v>
      </c>
      <c r="J791" t="s">
        <v>21</v>
      </c>
      <c r="K791" s="2">
        <v>30307</v>
      </c>
      <c r="L791" t="s">
        <v>33</v>
      </c>
      <c r="M791" s="2">
        <v>0.34</v>
      </c>
      <c r="N791" s="2">
        <v>0.92</v>
      </c>
      <c r="O791" s="2">
        <v>42073.56</v>
      </c>
      <c r="P791" s="2">
        <v>0</v>
      </c>
      <c r="Q791">
        <f t="shared" si="48"/>
        <v>42344.565217391304</v>
      </c>
      <c r="R791">
        <f t="shared" ca="1" si="49"/>
        <v>29</v>
      </c>
      <c r="S791" s="2">
        <f t="shared" si="50"/>
        <v>3116.5599999999977</v>
      </c>
      <c r="T791" s="18">
        <v>0.1</v>
      </c>
      <c r="U791">
        <f t="shared" si="51"/>
        <v>3428.2159999999976</v>
      </c>
    </row>
    <row r="792" spans="1:21" x14ac:dyDescent="0.3">
      <c r="A792" t="s">
        <v>1626</v>
      </c>
      <c r="B792" s="1">
        <v>44699</v>
      </c>
      <c r="C792" t="s">
        <v>1627</v>
      </c>
      <c r="D792" s="3" t="s">
        <v>65</v>
      </c>
      <c r="E792" s="2">
        <v>3472</v>
      </c>
      <c r="F792" s="2">
        <v>10.3</v>
      </c>
      <c r="G792" s="4">
        <v>60</v>
      </c>
      <c r="H792" t="s">
        <v>26</v>
      </c>
      <c r="I792" t="s">
        <v>84</v>
      </c>
      <c r="J792" t="s">
        <v>32</v>
      </c>
      <c r="K792" s="2">
        <v>86889</v>
      </c>
      <c r="L792" t="s">
        <v>22</v>
      </c>
      <c r="M792" s="2">
        <v>0.28999999999999998</v>
      </c>
      <c r="N792" s="2">
        <v>0.66</v>
      </c>
      <c r="O792" s="2">
        <v>679.21</v>
      </c>
      <c r="P792" s="2">
        <v>0</v>
      </c>
      <c r="Q792">
        <f t="shared" si="48"/>
        <v>5260.6060606060601</v>
      </c>
      <c r="R792">
        <f t="shared" ca="1" si="49"/>
        <v>46</v>
      </c>
      <c r="S792" s="2">
        <f t="shared" si="50"/>
        <v>-2792.79</v>
      </c>
      <c r="T792" s="18">
        <v>0.1</v>
      </c>
      <c r="U792">
        <f t="shared" si="51"/>
        <v>-3072.0690000000004</v>
      </c>
    </row>
    <row r="793" spans="1:21" x14ac:dyDescent="0.3">
      <c r="A793" t="s">
        <v>1628</v>
      </c>
      <c r="B793" s="1">
        <v>45017</v>
      </c>
      <c r="C793" t="s">
        <v>1629</v>
      </c>
      <c r="D793" s="3" t="s">
        <v>25</v>
      </c>
      <c r="E793" s="2">
        <v>7704</v>
      </c>
      <c r="F793" s="2">
        <v>5.4</v>
      </c>
      <c r="G793" s="4">
        <v>36</v>
      </c>
      <c r="H793" t="s">
        <v>19</v>
      </c>
      <c r="I793" t="s">
        <v>84</v>
      </c>
      <c r="J793" t="s">
        <v>32</v>
      </c>
      <c r="K793" s="2">
        <v>98895</v>
      </c>
      <c r="L793" t="s">
        <v>33</v>
      </c>
      <c r="M793" s="2">
        <v>0.32</v>
      </c>
      <c r="N793" s="2">
        <v>0.7</v>
      </c>
      <c r="O793" s="2">
        <v>8120.02</v>
      </c>
      <c r="P793" s="2">
        <v>0</v>
      </c>
      <c r="Q793">
        <f t="shared" si="48"/>
        <v>11005.714285714286</v>
      </c>
      <c r="R793">
        <f t="shared" ca="1" si="49"/>
        <v>35</v>
      </c>
      <c r="S793" s="2">
        <f t="shared" si="50"/>
        <v>416.02000000000044</v>
      </c>
      <c r="T793" s="18">
        <v>0.1</v>
      </c>
      <c r="U793">
        <f t="shared" si="51"/>
        <v>457.62200000000053</v>
      </c>
    </row>
    <row r="794" spans="1:21" x14ac:dyDescent="0.3">
      <c r="A794" t="s">
        <v>1630</v>
      </c>
      <c r="B794" s="1">
        <v>44300</v>
      </c>
      <c r="C794" t="s">
        <v>1631</v>
      </c>
      <c r="D794" s="3" t="s">
        <v>18</v>
      </c>
      <c r="E794" s="2">
        <v>4713</v>
      </c>
      <c r="F794" s="2">
        <v>16.7</v>
      </c>
      <c r="G794" s="4">
        <v>60</v>
      </c>
      <c r="H794" t="s">
        <v>19</v>
      </c>
      <c r="I794" t="s">
        <v>57</v>
      </c>
      <c r="J794" t="s">
        <v>47</v>
      </c>
      <c r="K794" s="2">
        <v>125184</v>
      </c>
      <c r="L794" t="s">
        <v>22</v>
      </c>
      <c r="M794" s="2">
        <v>0.47</v>
      </c>
      <c r="N794" s="2">
        <v>0.8</v>
      </c>
      <c r="O794" s="2">
        <v>5500.07</v>
      </c>
      <c r="P794" s="2">
        <v>0</v>
      </c>
      <c r="Q794">
        <f t="shared" si="48"/>
        <v>5891.25</v>
      </c>
      <c r="R794">
        <f t="shared" ca="1" si="49"/>
        <v>59</v>
      </c>
      <c r="S794" s="2">
        <f t="shared" si="50"/>
        <v>787.06999999999971</v>
      </c>
      <c r="T794" s="18">
        <v>0.1</v>
      </c>
      <c r="U794">
        <f t="shared" si="51"/>
        <v>865.7769999999997</v>
      </c>
    </row>
    <row r="795" spans="1:21" x14ac:dyDescent="0.3">
      <c r="A795" t="s">
        <v>1632</v>
      </c>
      <c r="B795" s="1">
        <v>45259</v>
      </c>
      <c r="C795" t="s">
        <v>1633</v>
      </c>
      <c r="D795" s="3" t="s">
        <v>53</v>
      </c>
      <c r="E795" s="2">
        <v>6051</v>
      </c>
      <c r="F795" s="2">
        <v>21.8</v>
      </c>
      <c r="G795" s="4">
        <v>36</v>
      </c>
      <c r="H795" t="s">
        <v>19</v>
      </c>
      <c r="I795" t="s">
        <v>20</v>
      </c>
      <c r="J795" t="s">
        <v>21</v>
      </c>
      <c r="K795" s="2">
        <v>65944</v>
      </c>
      <c r="L795" t="s">
        <v>33</v>
      </c>
      <c r="M795" s="2">
        <v>0.45</v>
      </c>
      <c r="N795" s="2">
        <v>0.65</v>
      </c>
      <c r="O795" s="2">
        <v>7370.12</v>
      </c>
      <c r="P795" s="2">
        <v>0</v>
      </c>
      <c r="Q795">
        <f t="shared" si="48"/>
        <v>9309.2307692307695</v>
      </c>
      <c r="R795">
        <f t="shared" ca="1" si="49"/>
        <v>27</v>
      </c>
      <c r="S795" s="2">
        <f t="shared" si="50"/>
        <v>1319.12</v>
      </c>
      <c r="T795" s="18">
        <v>0.1</v>
      </c>
      <c r="U795">
        <f t="shared" si="51"/>
        <v>1451.0319999999999</v>
      </c>
    </row>
    <row r="796" spans="1:21" x14ac:dyDescent="0.3">
      <c r="A796" t="s">
        <v>1634</v>
      </c>
      <c r="B796" s="1">
        <v>44394</v>
      </c>
      <c r="C796" t="s">
        <v>1635</v>
      </c>
      <c r="D796" s="3" t="s">
        <v>18</v>
      </c>
      <c r="E796" s="2">
        <v>11756</v>
      </c>
      <c r="F796" s="2">
        <v>16</v>
      </c>
      <c r="G796" s="4">
        <v>36</v>
      </c>
      <c r="H796" t="s">
        <v>19</v>
      </c>
      <c r="I796" t="s">
        <v>20</v>
      </c>
      <c r="J796" t="s">
        <v>37</v>
      </c>
      <c r="K796" s="2">
        <v>129555</v>
      </c>
      <c r="L796" t="s">
        <v>29</v>
      </c>
      <c r="M796" s="2">
        <v>0.41</v>
      </c>
      <c r="N796" s="2">
        <v>0.61</v>
      </c>
      <c r="O796" s="2">
        <v>13636.96</v>
      </c>
      <c r="P796" s="2">
        <v>0</v>
      </c>
      <c r="Q796">
        <f t="shared" si="48"/>
        <v>19272.131147540986</v>
      </c>
      <c r="R796">
        <f t="shared" ca="1" si="49"/>
        <v>56</v>
      </c>
      <c r="S796" s="2">
        <f t="shared" si="50"/>
        <v>1880.9599999999991</v>
      </c>
      <c r="T796" s="18">
        <v>0.1</v>
      </c>
      <c r="U796">
        <f t="shared" si="51"/>
        <v>2069.0559999999991</v>
      </c>
    </row>
    <row r="797" spans="1:21" x14ac:dyDescent="0.3">
      <c r="A797" t="s">
        <v>1636</v>
      </c>
      <c r="B797" s="1">
        <v>44775</v>
      </c>
      <c r="C797" t="s">
        <v>1637</v>
      </c>
      <c r="D797" s="3" t="s">
        <v>25</v>
      </c>
      <c r="E797" s="2">
        <v>3475</v>
      </c>
      <c r="F797" s="2">
        <v>9.4</v>
      </c>
      <c r="G797" s="4">
        <v>36</v>
      </c>
      <c r="H797" t="s">
        <v>19</v>
      </c>
      <c r="I797" t="s">
        <v>73</v>
      </c>
      <c r="J797" t="s">
        <v>32</v>
      </c>
      <c r="K797" s="2">
        <v>68134</v>
      </c>
      <c r="L797" t="s">
        <v>33</v>
      </c>
      <c r="M797" s="2">
        <v>0.21</v>
      </c>
      <c r="N797" s="2">
        <v>0.78</v>
      </c>
      <c r="O797" s="2">
        <v>3801.65</v>
      </c>
      <c r="P797" s="2">
        <v>0</v>
      </c>
      <c r="Q797">
        <f t="shared" si="48"/>
        <v>4455.1282051282051</v>
      </c>
      <c r="R797">
        <f t="shared" ca="1" si="49"/>
        <v>43</v>
      </c>
      <c r="S797" s="2">
        <f t="shared" si="50"/>
        <v>326.65000000000009</v>
      </c>
      <c r="T797" s="18">
        <v>0.1</v>
      </c>
      <c r="U797">
        <f t="shared" si="51"/>
        <v>359.31500000000011</v>
      </c>
    </row>
    <row r="798" spans="1:21" x14ac:dyDescent="0.3">
      <c r="A798" t="s">
        <v>1638</v>
      </c>
      <c r="B798" s="1">
        <v>44587</v>
      </c>
      <c r="C798" t="s">
        <v>1639</v>
      </c>
      <c r="D798" s="3" t="s">
        <v>50</v>
      </c>
      <c r="E798" s="2">
        <v>37378</v>
      </c>
      <c r="F798" s="2">
        <v>5.7</v>
      </c>
      <c r="G798" s="4">
        <v>36</v>
      </c>
      <c r="H798" t="s">
        <v>19</v>
      </c>
      <c r="I798" t="s">
        <v>57</v>
      </c>
      <c r="J798" t="s">
        <v>32</v>
      </c>
      <c r="K798" s="2">
        <v>57323</v>
      </c>
      <c r="L798" t="s">
        <v>29</v>
      </c>
      <c r="M798" s="2">
        <v>0.46</v>
      </c>
      <c r="N798" s="2">
        <v>0.51</v>
      </c>
      <c r="O798" s="2">
        <v>39508.550000000003</v>
      </c>
      <c r="P798" s="2">
        <v>0</v>
      </c>
      <c r="Q798">
        <f t="shared" si="48"/>
        <v>73290.196078431371</v>
      </c>
      <c r="R798">
        <f t="shared" ca="1" si="49"/>
        <v>49</v>
      </c>
      <c r="S798" s="2">
        <f t="shared" si="50"/>
        <v>2130.5500000000029</v>
      </c>
      <c r="T798" s="18">
        <v>0.1</v>
      </c>
      <c r="U798">
        <f t="shared" si="51"/>
        <v>2343.6050000000032</v>
      </c>
    </row>
    <row r="799" spans="1:21" x14ac:dyDescent="0.3">
      <c r="A799" t="s">
        <v>1640</v>
      </c>
      <c r="B799" s="1">
        <v>44750</v>
      </c>
      <c r="C799" t="s">
        <v>1641</v>
      </c>
      <c r="D799" s="3" t="s">
        <v>40</v>
      </c>
      <c r="E799" s="2">
        <v>5255</v>
      </c>
      <c r="F799" s="2">
        <v>9.3000000000000007</v>
      </c>
      <c r="G799" s="4">
        <v>60</v>
      </c>
      <c r="H799" t="s">
        <v>19</v>
      </c>
      <c r="I799" t="s">
        <v>41</v>
      </c>
      <c r="J799" t="s">
        <v>28</v>
      </c>
      <c r="K799" s="2">
        <v>146205</v>
      </c>
      <c r="L799" t="s">
        <v>29</v>
      </c>
      <c r="M799" s="2">
        <v>0.14000000000000001</v>
      </c>
      <c r="N799" s="2">
        <v>0.82</v>
      </c>
      <c r="O799" s="2">
        <v>5743.72</v>
      </c>
      <c r="P799" s="2">
        <v>0</v>
      </c>
      <c r="Q799">
        <f t="shared" si="48"/>
        <v>6408.5365853658541</v>
      </c>
      <c r="R799">
        <f t="shared" ca="1" si="49"/>
        <v>44</v>
      </c>
      <c r="S799" s="2">
        <f t="shared" si="50"/>
        <v>488.72000000000025</v>
      </c>
      <c r="T799" s="18">
        <v>0.1</v>
      </c>
      <c r="U799">
        <f t="shared" si="51"/>
        <v>537.59200000000033</v>
      </c>
    </row>
    <row r="800" spans="1:21" x14ac:dyDescent="0.3">
      <c r="A800" t="s">
        <v>1642</v>
      </c>
      <c r="B800" s="1">
        <v>45235</v>
      </c>
      <c r="C800" t="s">
        <v>1643</v>
      </c>
      <c r="D800" s="3" t="s">
        <v>25</v>
      </c>
      <c r="E800" s="2">
        <v>15484</v>
      </c>
      <c r="F800" s="2">
        <v>13.3</v>
      </c>
      <c r="G800" s="4">
        <v>36</v>
      </c>
      <c r="H800" t="s">
        <v>19</v>
      </c>
      <c r="I800" t="s">
        <v>27</v>
      </c>
      <c r="J800" t="s">
        <v>47</v>
      </c>
      <c r="K800" s="2">
        <v>101762</v>
      </c>
      <c r="L800" t="s">
        <v>33</v>
      </c>
      <c r="M800" s="2">
        <v>0.44</v>
      </c>
      <c r="N800" s="2">
        <v>0.73</v>
      </c>
      <c r="O800" s="2">
        <v>17543.37</v>
      </c>
      <c r="P800" s="2">
        <v>0</v>
      </c>
      <c r="Q800">
        <f t="shared" si="48"/>
        <v>21210.95890410959</v>
      </c>
      <c r="R800">
        <f t="shared" ca="1" si="49"/>
        <v>28</v>
      </c>
      <c r="S800" s="2">
        <f t="shared" si="50"/>
        <v>2059.369999999999</v>
      </c>
      <c r="T800" s="18">
        <v>0.1</v>
      </c>
      <c r="U800">
        <f t="shared" si="51"/>
        <v>2265.3069999999989</v>
      </c>
    </row>
    <row r="801" spans="1:21" x14ac:dyDescent="0.3">
      <c r="A801" t="s">
        <v>1644</v>
      </c>
      <c r="B801" s="1">
        <v>44674</v>
      </c>
      <c r="C801" t="s">
        <v>1645</v>
      </c>
      <c r="D801" s="3" t="s">
        <v>72</v>
      </c>
      <c r="E801" s="2">
        <v>35503</v>
      </c>
      <c r="F801" s="2">
        <v>20.2</v>
      </c>
      <c r="G801" s="4">
        <v>36</v>
      </c>
      <c r="H801" t="s">
        <v>19</v>
      </c>
      <c r="I801" t="s">
        <v>27</v>
      </c>
      <c r="J801" t="s">
        <v>32</v>
      </c>
      <c r="K801" s="2">
        <v>117225</v>
      </c>
      <c r="L801" t="s">
        <v>29</v>
      </c>
      <c r="M801" s="2">
        <v>0.23</v>
      </c>
      <c r="N801" s="2">
        <v>0.77</v>
      </c>
      <c r="O801" s="2">
        <v>42674.61</v>
      </c>
      <c r="P801" s="2">
        <v>0</v>
      </c>
      <c r="Q801">
        <f t="shared" si="48"/>
        <v>46107.792207792205</v>
      </c>
      <c r="R801">
        <f t="shared" ca="1" si="49"/>
        <v>46</v>
      </c>
      <c r="S801" s="2">
        <f t="shared" si="50"/>
        <v>7171.6100000000006</v>
      </c>
      <c r="T801" s="18">
        <v>0.1</v>
      </c>
      <c r="U801">
        <f t="shared" si="51"/>
        <v>7888.7710000000015</v>
      </c>
    </row>
    <row r="802" spans="1:21" x14ac:dyDescent="0.3">
      <c r="A802" t="s">
        <v>1646</v>
      </c>
      <c r="B802" s="1">
        <v>45119</v>
      </c>
      <c r="C802" t="s">
        <v>1647</v>
      </c>
      <c r="D802" s="3" t="s">
        <v>76</v>
      </c>
      <c r="E802" s="2">
        <v>9258</v>
      </c>
      <c r="F802" s="2">
        <v>8.8000000000000007</v>
      </c>
      <c r="G802" s="4">
        <v>60</v>
      </c>
      <c r="H802" t="s">
        <v>26</v>
      </c>
      <c r="I802" t="s">
        <v>36</v>
      </c>
      <c r="J802" t="s">
        <v>32</v>
      </c>
      <c r="K802" s="2">
        <v>126507</v>
      </c>
      <c r="L802" t="s">
        <v>29</v>
      </c>
      <c r="M802" s="2">
        <v>0.12</v>
      </c>
      <c r="N802" s="2">
        <v>0.78</v>
      </c>
      <c r="O802" s="2">
        <v>3956.83</v>
      </c>
      <c r="P802" s="2">
        <v>0</v>
      </c>
      <c r="Q802">
        <f t="shared" si="48"/>
        <v>11869.23076923077</v>
      </c>
      <c r="R802">
        <f t="shared" ca="1" si="49"/>
        <v>32</v>
      </c>
      <c r="S802" s="2">
        <f t="shared" si="50"/>
        <v>-5301.17</v>
      </c>
      <c r="T802" s="18">
        <v>0.1</v>
      </c>
      <c r="U802">
        <f t="shared" si="51"/>
        <v>-5831.2870000000003</v>
      </c>
    </row>
    <row r="803" spans="1:21" x14ac:dyDescent="0.3">
      <c r="A803" t="s">
        <v>1648</v>
      </c>
      <c r="B803" s="1">
        <v>44616</v>
      </c>
      <c r="C803" t="s">
        <v>1649</v>
      </c>
      <c r="D803" s="3" t="s">
        <v>65</v>
      </c>
      <c r="E803" s="2">
        <v>36196</v>
      </c>
      <c r="F803" s="2">
        <v>19.399999999999999</v>
      </c>
      <c r="G803" s="4">
        <v>36</v>
      </c>
      <c r="H803" t="s">
        <v>81</v>
      </c>
      <c r="I803" t="s">
        <v>36</v>
      </c>
      <c r="J803" t="s">
        <v>37</v>
      </c>
      <c r="K803" s="2">
        <v>55954</v>
      </c>
      <c r="L803" t="s">
        <v>22</v>
      </c>
      <c r="M803" s="2">
        <v>0.37</v>
      </c>
      <c r="N803" s="2">
        <v>0.74</v>
      </c>
      <c r="O803" s="2">
        <v>4744.32</v>
      </c>
      <c r="P803" s="2">
        <v>13544.73</v>
      </c>
      <c r="Q803">
        <f t="shared" si="48"/>
        <v>48913.513513513513</v>
      </c>
      <c r="R803">
        <f t="shared" ca="1" si="49"/>
        <v>48</v>
      </c>
      <c r="S803" s="2">
        <f t="shared" si="50"/>
        <v>-17906.95</v>
      </c>
      <c r="T803" s="18">
        <v>0.1</v>
      </c>
      <c r="U803">
        <f t="shared" si="51"/>
        <v>-19697.645000000004</v>
      </c>
    </row>
    <row r="804" spans="1:21" x14ac:dyDescent="0.3">
      <c r="A804" t="s">
        <v>1650</v>
      </c>
      <c r="B804" s="1">
        <v>44353</v>
      </c>
      <c r="C804" t="s">
        <v>1651</v>
      </c>
      <c r="D804" s="3" t="s">
        <v>65</v>
      </c>
      <c r="E804" s="2">
        <v>9533</v>
      </c>
      <c r="F804" s="2">
        <v>22.3</v>
      </c>
      <c r="G804" s="4">
        <v>36</v>
      </c>
      <c r="H804" t="s">
        <v>19</v>
      </c>
      <c r="I804" t="s">
        <v>57</v>
      </c>
      <c r="J804" t="s">
        <v>37</v>
      </c>
      <c r="K804" s="2">
        <v>85021</v>
      </c>
      <c r="L804" t="s">
        <v>22</v>
      </c>
      <c r="M804" s="2">
        <v>0.19</v>
      </c>
      <c r="N804" s="2">
        <v>0.76</v>
      </c>
      <c r="O804" s="2">
        <v>11658.86</v>
      </c>
      <c r="P804" s="2">
        <v>0</v>
      </c>
      <c r="Q804">
        <f t="shared" si="48"/>
        <v>12543.421052631578</v>
      </c>
      <c r="R804">
        <f t="shared" ca="1" si="49"/>
        <v>57</v>
      </c>
      <c r="S804" s="2">
        <f t="shared" si="50"/>
        <v>2125.8600000000006</v>
      </c>
      <c r="T804" s="18">
        <v>0.1</v>
      </c>
      <c r="U804">
        <f t="shared" si="51"/>
        <v>2338.4460000000008</v>
      </c>
    </row>
    <row r="805" spans="1:21" x14ac:dyDescent="0.3">
      <c r="A805" t="s">
        <v>1652</v>
      </c>
      <c r="B805" s="1">
        <v>44746</v>
      </c>
      <c r="C805" t="s">
        <v>1653</v>
      </c>
      <c r="D805" s="3" t="s">
        <v>46</v>
      </c>
      <c r="E805" s="2">
        <v>33581</v>
      </c>
      <c r="F805" s="2">
        <v>14.1</v>
      </c>
      <c r="G805" s="4">
        <v>60</v>
      </c>
      <c r="H805" t="s">
        <v>19</v>
      </c>
      <c r="I805" t="s">
        <v>20</v>
      </c>
      <c r="J805" t="s">
        <v>28</v>
      </c>
      <c r="K805" s="2">
        <v>119959</v>
      </c>
      <c r="L805" t="s">
        <v>29</v>
      </c>
      <c r="M805" s="2">
        <v>0.2</v>
      </c>
      <c r="N805" s="2">
        <v>0.81</v>
      </c>
      <c r="O805" s="2">
        <v>38315.919999999998</v>
      </c>
      <c r="P805" s="2">
        <v>0</v>
      </c>
      <c r="Q805">
        <f t="shared" si="48"/>
        <v>41458.024691358019</v>
      </c>
      <c r="R805">
        <f t="shared" ca="1" si="49"/>
        <v>44</v>
      </c>
      <c r="S805" s="2">
        <f t="shared" si="50"/>
        <v>4734.9199999999983</v>
      </c>
      <c r="T805" s="18">
        <v>0.1</v>
      </c>
      <c r="U805">
        <f t="shared" si="51"/>
        <v>5208.4119999999984</v>
      </c>
    </row>
    <row r="806" spans="1:21" x14ac:dyDescent="0.3">
      <c r="A806" t="s">
        <v>1654</v>
      </c>
      <c r="B806" s="1">
        <v>45217</v>
      </c>
      <c r="C806" t="s">
        <v>1655</v>
      </c>
      <c r="D806" s="3" t="s">
        <v>40</v>
      </c>
      <c r="E806" s="2">
        <v>6249</v>
      </c>
      <c r="F806" s="2">
        <v>21.4</v>
      </c>
      <c r="G806" s="4">
        <v>60</v>
      </c>
      <c r="H806" t="s">
        <v>19</v>
      </c>
      <c r="I806" t="s">
        <v>27</v>
      </c>
      <c r="J806" t="s">
        <v>28</v>
      </c>
      <c r="K806" s="2">
        <v>125927</v>
      </c>
      <c r="L806" t="s">
        <v>33</v>
      </c>
      <c r="M806" s="2">
        <v>0.22</v>
      </c>
      <c r="N806" s="2">
        <v>0.84</v>
      </c>
      <c r="O806" s="2">
        <v>7586.29</v>
      </c>
      <c r="P806" s="2">
        <v>0</v>
      </c>
      <c r="Q806">
        <f t="shared" si="48"/>
        <v>7439.2857142857147</v>
      </c>
      <c r="R806">
        <f t="shared" ca="1" si="49"/>
        <v>29</v>
      </c>
      <c r="S806" s="2">
        <f t="shared" si="50"/>
        <v>1337.29</v>
      </c>
      <c r="T806" s="18">
        <v>0.1</v>
      </c>
      <c r="U806">
        <f t="shared" si="51"/>
        <v>1471.019</v>
      </c>
    </row>
    <row r="807" spans="1:21" x14ac:dyDescent="0.3">
      <c r="A807" t="s">
        <v>1656</v>
      </c>
      <c r="B807" s="1">
        <v>45193</v>
      </c>
      <c r="C807" t="s">
        <v>1657</v>
      </c>
      <c r="D807" s="3" t="s">
        <v>72</v>
      </c>
      <c r="E807" s="2">
        <v>20201</v>
      </c>
      <c r="F807" s="2">
        <v>16.100000000000001</v>
      </c>
      <c r="G807" s="4">
        <v>60</v>
      </c>
      <c r="H807" t="s">
        <v>26</v>
      </c>
      <c r="I807" t="s">
        <v>57</v>
      </c>
      <c r="J807" t="s">
        <v>28</v>
      </c>
      <c r="K807" s="2">
        <v>109866</v>
      </c>
      <c r="L807" t="s">
        <v>29</v>
      </c>
      <c r="M807" s="2">
        <v>0.13</v>
      </c>
      <c r="N807" s="2">
        <v>0.83</v>
      </c>
      <c r="O807" s="2">
        <v>8625.3799999999992</v>
      </c>
      <c r="P807" s="2">
        <v>0</v>
      </c>
      <c r="Q807">
        <f t="shared" si="48"/>
        <v>24338.554216867473</v>
      </c>
      <c r="R807">
        <f t="shared" ca="1" si="49"/>
        <v>29</v>
      </c>
      <c r="S807" s="2">
        <f t="shared" si="50"/>
        <v>-11575.62</v>
      </c>
      <c r="T807" s="18">
        <v>0.1</v>
      </c>
      <c r="U807">
        <f t="shared" si="51"/>
        <v>-12733.182000000003</v>
      </c>
    </row>
    <row r="808" spans="1:21" x14ac:dyDescent="0.3">
      <c r="A808" t="s">
        <v>1658</v>
      </c>
      <c r="B808" s="1">
        <v>45147</v>
      </c>
      <c r="C808" t="s">
        <v>1659</v>
      </c>
      <c r="D808" s="3" t="s">
        <v>76</v>
      </c>
      <c r="E808" s="2">
        <v>10686</v>
      </c>
      <c r="F808" s="2">
        <v>17.7</v>
      </c>
      <c r="G808" s="4">
        <v>36</v>
      </c>
      <c r="H808" t="s">
        <v>19</v>
      </c>
      <c r="I808" t="s">
        <v>73</v>
      </c>
      <c r="J808" t="s">
        <v>37</v>
      </c>
      <c r="K808" s="2">
        <v>100427</v>
      </c>
      <c r="L808" t="s">
        <v>33</v>
      </c>
      <c r="M808" s="2">
        <v>0.17</v>
      </c>
      <c r="N808" s="2">
        <v>0.89</v>
      </c>
      <c r="O808" s="2">
        <v>12577.42</v>
      </c>
      <c r="P808" s="2">
        <v>0</v>
      </c>
      <c r="Q808">
        <f t="shared" si="48"/>
        <v>12006.741573033707</v>
      </c>
      <c r="R808">
        <f t="shared" ca="1" si="49"/>
        <v>31</v>
      </c>
      <c r="S808" s="2">
        <f t="shared" si="50"/>
        <v>1891.42</v>
      </c>
      <c r="T808" s="18">
        <v>0.1</v>
      </c>
      <c r="U808">
        <f t="shared" si="51"/>
        <v>2080.5620000000004</v>
      </c>
    </row>
    <row r="809" spans="1:21" x14ac:dyDescent="0.3">
      <c r="A809" t="s">
        <v>1660</v>
      </c>
      <c r="B809" s="1">
        <v>44485</v>
      </c>
      <c r="C809" t="s">
        <v>1661</v>
      </c>
      <c r="D809" s="3" t="s">
        <v>65</v>
      </c>
      <c r="E809" s="2">
        <v>33007</v>
      </c>
      <c r="F809" s="2">
        <v>15.5</v>
      </c>
      <c r="G809" s="4">
        <v>60</v>
      </c>
      <c r="H809" t="s">
        <v>19</v>
      </c>
      <c r="I809" t="s">
        <v>27</v>
      </c>
      <c r="J809" t="s">
        <v>37</v>
      </c>
      <c r="K809" s="2">
        <v>34992</v>
      </c>
      <c r="L809" t="s">
        <v>22</v>
      </c>
      <c r="M809" s="2">
        <v>0.1</v>
      </c>
      <c r="N809" s="2">
        <v>0.59</v>
      </c>
      <c r="O809" s="2">
        <v>38123.08</v>
      </c>
      <c r="P809" s="2">
        <v>0</v>
      </c>
      <c r="Q809">
        <f t="shared" si="48"/>
        <v>55944.067796610172</v>
      </c>
      <c r="R809">
        <f t="shared" ca="1" si="49"/>
        <v>53</v>
      </c>
      <c r="S809" s="2">
        <f t="shared" si="50"/>
        <v>5116.0800000000017</v>
      </c>
      <c r="T809" s="18">
        <v>0.1</v>
      </c>
      <c r="U809">
        <f t="shared" si="51"/>
        <v>5627.6880000000019</v>
      </c>
    </row>
    <row r="810" spans="1:21" x14ac:dyDescent="0.3">
      <c r="A810" t="s">
        <v>1662</v>
      </c>
      <c r="B810" s="1">
        <v>44392</v>
      </c>
      <c r="C810" t="s">
        <v>1663</v>
      </c>
      <c r="D810" s="3" t="s">
        <v>72</v>
      </c>
      <c r="E810" s="2">
        <v>1661</v>
      </c>
      <c r="F810" s="2">
        <v>14.3</v>
      </c>
      <c r="G810" s="4">
        <v>60</v>
      </c>
      <c r="H810" t="s">
        <v>26</v>
      </c>
      <c r="I810" t="s">
        <v>36</v>
      </c>
      <c r="J810" t="s">
        <v>47</v>
      </c>
      <c r="K810" s="2">
        <v>31961</v>
      </c>
      <c r="L810" t="s">
        <v>33</v>
      </c>
      <c r="M810" s="2">
        <v>0.28000000000000003</v>
      </c>
      <c r="N810" s="2">
        <v>0.68</v>
      </c>
      <c r="O810" s="2">
        <v>197.22</v>
      </c>
      <c r="P810" s="2">
        <v>0</v>
      </c>
      <c r="Q810">
        <f t="shared" si="48"/>
        <v>2442.6470588235293</v>
      </c>
      <c r="R810">
        <f t="shared" ca="1" si="49"/>
        <v>56</v>
      </c>
      <c r="S810" s="2">
        <f t="shared" si="50"/>
        <v>-1463.78</v>
      </c>
      <c r="T810" s="18">
        <v>0.1</v>
      </c>
      <c r="U810">
        <f t="shared" si="51"/>
        <v>-1610.1580000000001</v>
      </c>
    </row>
    <row r="811" spans="1:21" x14ac:dyDescent="0.3">
      <c r="A811" t="s">
        <v>1664</v>
      </c>
      <c r="B811" s="1">
        <v>44794</v>
      </c>
      <c r="C811" t="s">
        <v>1665</v>
      </c>
      <c r="D811" s="3" t="s">
        <v>18</v>
      </c>
      <c r="E811" s="2">
        <v>31137</v>
      </c>
      <c r="F811" s="2">
        <v>9.6999999999999993</v>
      </c>
      <c r="G811" s="4">
        <v>36</v>
      </c>
      <c r="H811" t="s">
        <v>19</v>
      </c>
      <c r="I811" t="s">
        <v>57</v>
      </c>
      <c r="J811" t="s">
        <v>21</v>
      </c>
      <c r="K811" s="2">
        <v>42497</v>
      </c>
      <c r="L811" t="s">
        <v>29</v>
      </c>
      <c r="M811" s="2">
        <v>0.13</v>
      </c>
      <c r="N811" s="2">
        <v>0.93</v>
      </c>
      <c r="O811" s="2">
        <v>34157.29</v>
      </c>
      <c r="P811" s="2">
        <v>0</v>
      </c>
      <c r="Q811">
        <f t="shared" si="48"/>
        <v>33480.645161290318</v>
      </c>
      <c r="R811">
        <f t="shared" ca="1" si="49"/>
        <v>42</v>
      </c>
      <c r="S811" s="2">
        <f t="shared" si="50"/>
        <v>3020.2900000000009</v>
      </c>
      <c r="T811" s="18">
        <v>0.1</v>
      </c>
      <c r="U811">
        <f t="shared" si="51"/>
        <v>3322.3190000000013</v>
      </c>
    </row>
    <row r="812" spans="1:21" x14ac:dyDescent="0.3">
      <c r="A812" t="s">
        <v>1666</v>
      </c>
      <c r="B812" s="1">
        <v>44713</v>
      </c>
      <c r="C812" t="s">
        <v>1667</v>
      </c>
      <c r="D812" s="3" t="s">
        <v>46</v>
      </c>
      <c r="E812" s="2">
        <v>11526</v>
      </c>
      <c r="F812" s="2">
        <v>11.1</v>
      </c>
      <c r="G812" s="4">
        <v>36</v>
      </c>
      <c r="H812" t="s">
        <v>26</v>
      </c>
      <c r="I812" t="s">
        <v>84</v>
      </c>
      <c r="J812" t="s">
        <v>21</v>
      </c>
      <c r="K812" s="2">
        <v>147551</v>
      </c>
      <c r="L812" t="s">
        <v>29</v>
      </c>
      <c r="M812" s="2">
        <v>0.37</v>
      </c>
      <c r="N812" s="2">
        <v>0.68</v>
      </c>
      <c r="O812" s="2">
        <v>1006.42</v>
      </c>
      <c r="P812" s="2">
        <v>0</v>
      </c>
      <c r="Q812">
        <f t="shared" si="48"/>
        <v>16950</v>
      </c>
      <c r="R812">
        <f t="shared" ca="1" si="49"/>
        <v>45</v>
      </c>
      <c r="S812" s="2">
        <f t="shared" si="50"/>
        <v>-10519.58</v>
      </c>
      <c r="T812" s="18">
        <v>0.1</v>
      </c>
      <c r="U812">
        <f t="shared" si="51"/>
        <v>-11571.538</v>
      </c>
    </row>
    <row r="813" spans="1:21" x14ac:dyDescent="0.3">
      <c r="A813" t="s">
        <v>1668</v>
      </c>
      <c r="B813" s="1">
        <v>45061</v>
      </c>
      <c r="C813" t="s">
        <v>1669</v>
      </c>
      <c r="D813" s="3" t="s">
        <v>25</v>
      </c>
      <c r="E813" s="2">
        <v>4374</v>
      </c>
      <c r="F813" s="2">
        <v>10.8</v>
      </c>
      <c r="G813" s="4">
        <v>36</v>
      </c>
      <c r="H813" t="s">
        <v>19</v>
      </c>
      <c r="I813" t="s">
        <v>57</v>
      </c>
      <c r="J813" t="s">
        <v>47</v>
      </c>
      <c r="K813" s="2">
        <v>62551</v>
      </c>
      <c r="L813" t="s">
        <v>29</v>
      </c>
      <c r="M813" s="2">
        <v>0.19</v>
      </c>
      <c r="N813" s="2">
        <v>0.56000000000000005</v>
      </c>
      <c r="O813" s="2">
        <v>4846.3900000000003</v>
      </c>
      <c r="P813" s="2">
        <v>0</v>
      </c>
      <c r="Q813">
        <f t="shared" si="48"/>
        <v>7810.7142857142853</v>
      </c>
      <c r="R813">
        <f t="shared" ca="1" si="49"/>
        <v>34</v>
      </c>
      <c r="S813" s="2">
        <f t="shared" si="50"/>
        <v>472.39000000000033</v>
      </c>
      <c r="T813" s="18">
        <v>0.1</v>
      </c>
      <c r="U813">
        <f t="shared" si="51"/>
        <v>519.62900000000036</v>
      </c>
    </row>
    <row r="814" spans="1:21" x14ac:dyDescent="0.3">
      <c r="A814" t="s">
        <v>1670</v>
      </c>
      <c r="B814" s="1">
        <v>45002</v>
      </c>
      <c r="C814" t="s">
        <v>1671</v>
      </c>
      <c r="D814" s="3" t="s">
        <v>25</v>
      </c>
      <c r="E814" s="2">
        <v>26592</v>
      </c>
      <c r="F814" s="2">
        <v>16.3</v>
      </c>
      <c r="G814" s="4">
        <v>36</v>
      </c>
      <c r="H814" t="s">
        <v>26</v>
      </c>
      <c r="I814" t="s">
        <v>27</v>
      </c>
      <c r="J814" t="s">
        <v>21</v>
      </c>
      <c r="K814" s="2">
        <v>106384</v>
      </c>
      <c r="L814" t="s">
        <v>29</v>
      </c>
      <c r="M814" s="2">
        <v>0.48</v>
      </c>
      <c r="N814" s="2">
        <v>0.74</v>
      </c>
      <c r="O814" s="2">
        <v>9009.34</v>
      </c>
      <c r="P814" s="2">
        <v>0</v>
      </c>
      <c r="Q814">
        <f t="shared" si="48"/>
        <v>35935.135135135133</v>
      </c>
      <c r="R814">
        <f t="shared" ca="1" si="49"/>
        <v>36</v>
      </c>
      <c r="S814" s="2">
        <f t="shared" si="50"/>
        <v>-17582.66</v>
      </c>
      <c r="T814" s="18">
        <v>0.1</v>
      </c>
      <c r="U814">
        <f t="shared" si="51"/>
        <v>-19340.926000000003</v>
      </c>
    </row>
    <row r="815" spans="1:21" x14ac:dyDescent="0.3">
      <c r="A815" t="s">
        <v>1672</v>
      </c>
      <c r="B815" s="1">
        <v>45011</v>
      </c>
      <c r="C815" t="s">
        <v>1673</v>
      </c>
      <c r="D815" s="3" t="s">
        <v>50</v>
      </c>
      <c r="E815" s="2">
        <v>29982</v>
      </c>
      <c r="F815" s="2">
        <v>7.4</v>
      </c>
      <c r="G815" s="4">
        <v>36</v>
      </c>
      <c r="H815" t="s">
        <v>19</v>
      </c>
      <c r="I815" t="s">
        <v>20</v>
      </c>
      <c r="J815" t="s">
        <v>37</v>
      </c>
      <c r="K815" s="2">
        <v>85755</v>
      </c>
      <c r="L815" t="s">
        <v>29</v>
      </c>
      <c r="M815" s="2">
        <v>0.45</v>
      </c>
      <c r="N815" s="2">
        <v>0.55000000000000004</v>
      </c>
      <c r="O815" s="2">
        <v>32200.67</v>
      </c>
      <c r="P815" s="2">
        <v>0</v>
      </c>
      <c r="Q815">
        <f t="shared" si="48"/>
        <v>54512.727272727265</v>
      </c>
      <c r="R815">
        <f t="shared" ca="1" si="49"/>
        <v>35</v>
      </c>
      <c r="S815" s="2">
        <f t="shared" si="50"/>
        <v>2218.6699999999983</v>
      </c>
      <c r="T815" s="18">
        <v>0.1</v>
      </c>
      <c r="U815">
        <f t="shared" si="51"/>
        <v>2440.5369999999984</v>
      </c>
    </row>
    <row r="816" spans="1:21" x14ac:dyDescent="0.3">
      <c r="A816" t="s">
        <v>1674</v>
      </c>
      <c r="B816" s="1">
        <v>44424</v>
      </c>
      <c r="C816" t="s">
        <v>1675</v>
      </c>
      <c r="D816" s="3" t="s">
        <v>76</v>
      </c>
      <c r="E816" s="2">
        <v>1207</v>
      </c>
      <c r="F816" s="2">
        <v>23.3</v>
      </c>
      <c r="G816" s="4">
        <v>60</v>
      </c>
      <c r="H816" t="s">
        <v>81</v>
      </c>
      <c r="I816" t="s">
        <v>84</v>
      </c>
      <c r="J816" t="s">
        <v>21</v>
      </c>
      <c r="K816" s="2">
        <v>43255</v>
      </c>
      <c r="L816" t="s">
        <v>33</v>
      </c>
      <c r="M816" s="2">
        <v>0.22</v>
      </c>
      <c r="N816" s="2">
        <v>0.59</v>
      </c>
      <c r="O816" s="2">
        <v>291.58999999999997</v>
      </c>
      <c r="P816" s="2">
        <v>508.63</v>
      </c>
      <c r="Q816">
        <f t="shared" si="48"/>
        <v>2045.7627118644068</v>
      </c>
      <c r="R816">
        <f t="shared" ca="1" si="49"/>
        <v>55</v>
      </c>
      <c r="S816" s="2">
        <f t="shared" si="50"/>
        <v>-406.78</v>
      </c>
      <c r="T816" s="18">
        <v>0.1</v>
      </c>
      <c r="U816">
        <f t="shared" si="51"/>
        <v>-447.45800000000003</v>
      </c>
    </row>
    <row r="817" spans="1:21" x14ac:dyDescent="0.3">
      <c r="A817" t="s">
        <v>1676</v>
      </c>
      <c r="B817" s="1">
        <v>44412</v>
      </c>
      <c r="C817" t="s">
        <v>1677</v>
      </c>
      <c r="D817" s="3" t="s">
        <v>72</v>
      </c>
      <c r="E817" s="2">
        <v>36433</v>
      </c>
      <c r="F817" s="2">
        <v>19.399999999999999</v>
      </c>
      <c r="G817" s="4">
        <v>60</v>
      </c>
      <c r="H817" t="s">
        <v>26</v>
      </c>
      <c r="I817" t="s">
        <v>20</v>
      </c>
      <c r="J817" t="s">
        <v>37</v>
      </c>
      <c r="K817" s="2">
        <v>34567</v>
      </c>
      <c r="L817" t="s">
        <v>29</v>
      </c>
      <c r="M817" s="2">
        <v>0.41</v>
      </c>
      <c r="N817" s="2">
        <v>0.95</v>
      </c>
      <c r="O817" s="2">
        <v>16706.38</v>
      </c>
      <c r="P817" s="2">
        <v>0</v>
      </c>
      <c r="Q817">
        <f t="shared" si="48"/>
        <v>38350.526315789473</v>
      </c>
      <c r="R817">
        <f t="shared" ca="1" si="49"/>
        <v>55</v>
      </c>
      <c r="S817" s="2">
        <f t="shared" si="50"/>
        <v>-19726.62</v>
      </c>
      <c r="T817" s="18">
        <v>0.1</v>
      </c>
      <c r="U817">
        <f t="shared" si="51"/>
        <v>-21699.281999999999</v>
      </c>
    </row>
    <row r="818" spans="1:21" x14ac:dyDescent="0.3">
      <c r="A818" t="s">
        <v>1678</v>
      </c>
      <c r="B818" s="1">
        <v>45144</v>
      </c>
      <c r="C818" t="s">
        <v>1679</v>
      </c>
      <c r="D818" s="3" t="s">
        <v>56</v>
      </c>
      <c r="E818" s="2">
        <v>24197</v>
      </c>
      <c r="F818" s="2">
        <v>13</v>
      </c>
      <c r="G818" s="4">
        <v>60</v>
      </c>
      <c r="H818" t="s">
        <v>19</v>
      </c>
      <c r="I818" t="s">
        <v>27</v>
      </c>
      <c r="J818" t="s">
        <v>47</v>
      </c>
      <c r="K818" s="2">
        <v>78847</v>
      </c>
      <c r="L818" t="s">
        <v>22</v>
      </c>
      <c r="M818" s="2">
        <v>0.42</v>
      </c>
      <c r="N818" s="2">
        <v>0.74</v>
      </c>
      <c r="O818" s="2">
        <v>27342.61</v>
      </c>
      <c r="P818" s="2">
        <v>0</v>
      </c>
      <c r="Q818">
        <f t="shared" si="48"/>
        <v>32698.64864864865</v>
      </c>
      <c r="R818">
        <f t="shared" ca="1" si="49"/>
        <v>31</v>
      </c>
      <c r="S818" s="2">
        <f t="shared" si="50"/>
        <v>3145.6100000000006</v>
      </c>
      <c r="T818" s="18">
        <v>0.1</v>
      </c>
      <c r="U818">
        <f t="shared" si="51"/>
        <v>3460.1710000000007</v>
      </c>
    </row>
    <row r="819" spans="1:21" x14ac:dyDescent="0.3">
      <c r="A819" t="s">
        <v>1680</v>
      </c>
      <c r="B819" s="1">
        <v>44211</v>
      </c>
      <c r="C819" t="s">
        <v>1681</v>
      </c>
      <c r="D819" s="3" t="s">
        <v>65</v>
      </c>
      <c r="E819" s="2">
        <v>34400</v>
      </c>
      <c r="F819" s="2">
        <v>8.1999999999999993</v>
      </c>
      <c r="G819" s="4">
        <v>36</v>
      </c>
      <c r="H819" t="s">
        <v>19</v>
      </c>
      <c r="I819" t="s">
        <v>20</v>
      </c>
      <c r="J819" t="s">
        <v>28</v>
      </c>
      <c r="K819" s="2">
        <v>134817</v>
      </c>
      <c r="L819" t="s">
        <v>29</v>
      </c>
      <c r="M819" s="2">
        <v>0.49</v>
      </c>
      <c r="N819" s="2">
        <v>0.63</v>
      </c>
      <c r="O819" s="2">
        <v>37220.800000000003</v>
      </c>
      <c r="P819" s="2">
        <v>0</v>
      </c>
      <c r="Q819">
        <f t="shared" si="48"/>
        <v>54603.174603174601</v>
      </c>
      <c r="R819">
        <f t="shared" ca="1" si="49"/>
        <v>62</v>
      </c>
      <c r="S819" s="2">
        <f t="shared" si="50"/>
        <v>2820.8000000000029</v>
      </c>
      <c r="T819" s="18">
        <v>0.1</v>
      </c>
      <c r="U819">
        <f t="shared" si="51"/>
        <v>3102.8800000000033</v>
      </c>
    </row>
    <row r="820" spans="1:21" x14ac:dyDescent="0.3">
      <c r="A820" t="s">
        <v>1682</v>
      </c>
      <c r="B820" s="1">
        <v>44243</v>
      </c>
      <c r="C820" t="s">
        <v>1683</v>
      </c>
      <c r="D820" s="3" t="s">
        <v>53</v>
      </c>
      <c r="E820" s="2">
        <v>4083</v>
      </c>
      <c r="F820" s="2">
        <v>22.6</v>
      </c>
      <c r="G820" s="4">
        <v>36</v>
      </c>
      <c r="H820" t="s">
        <v>19</v>
      </c>
      <c r="I820" t="s">
        <v>57</v>
      </c>
      <c r="J820" t="s">
        <v>47</v>
      </c>
      <c r="K820" s="2">
        <v>78003</v>
      </c>
      <c r="L820" t="s">
        <v>33</v>
      </c>
      <c r="M820" s="2">
        <v>0.34</v>
      </c>
      <c r="N820" s="2">
        <v>0.95</v>
      </c>
      <c r="O820" s="2">
        <v>5005.76</v>
      </c>
      <c r="P820" s="2">
        <v>0</v>
      </c>
      <c r="Q820">
        <f t="shared" si="48"/>
        <v>4297.8947368421059</v>
      </c>
      <c r="R820">
        <f t="shared" ca="1" si="49"/>
        <v>61</v>
      </c>
      <c r="S820" s="2">
        <f t="shared" si="50"/>
        <v>922.76000000000022</v>
      </c>
      <c r="T820" s="18">
        <v>0.1</v>
      </c>
      <c r="U820">
        <f t="shared" si="51"/>
        <v>1015.0360000000003</v>
      </c>
    </row>
    <row r="821" spans="1:21" x14ac:dyDescent="0.3">
      <c r="A821" t="s">
        <v>1684</v>
      </c>
      <c r="B821" s="1">
        <v>44520</v>
      </c>
      <c r="C821" t="s">
        <v>1685</v>
      </c>
      <c r="D821" s="3" t="s">
        <v>53</v>
      </c>
      <c r="E821" s="2">
        <v>30328</v>
      </c>
      <c r="F821" s="2">
        <v>21.5</v>
      </c>
      <c r="G821" s="4">
        <v>36</v>
      </c>
      <c r="H821" t="s">
        <v>26</v>
      </c>
      <c r="I821" t="s">
        <v>73</v>
      </c>
      <c r="J821" t="s">
        <v>21</v>
      </c>
      <c r="K821" s="2">
        <v>50389</v>
      </c>
      <c r="L821" t="s">
        <v>29</v>
      </c>
      <c r="M821" s="2">
        <v>0.13</v>
      </c>
      <c r="N821" s="2">
        <v>0.93</v>
      </c>
      <c r="O821" s="2">
        <v>6473.06</v>
      </c>
      <c r="P821" s="2">
        <v>0</v>
      </c>
      <c r="Q821">
        <f t="shared" si="48"/>
        <v>32610.752688172041</v>
      </c>
      <c r="R821">
        <f t="shared" ca="1" si="49"/>
        <v>51</v>
      </c>
      <c r="S821" s="2">
        <f t="shared" si="50"/>
        <v>-23854.94</v>
      </c>
      <c r="T821" s="18">
        <v>0.1</v>
      </c>
      <c r="U821">
        <f t="shared" si="51"/>
        <v>-26240.434000000001</v>
      </c>
    </row>
    <row r="822" spans="1:21" x14ac:dyDescent="0.3">
      <c r="A822" t="s">
        <v>1686</v>
      </c>
      <c r="B822" s="1">
        <v>45040</v>
      </c>
      <c r="C822" t="s">
        <v>1687</v>
      </c>
      <c r="D822" s="3" t="s">
        <v>25</v>
      </c>
      <c r="E822" s="2">
        <v>21103</v>
      </c>
      <c r="F822" s="2">
        <v>19.399999999999999</v>
      </c>
      <c r="G822" s="4">
        <v>60</v>
      </c>
      <c r="H822" t="s">
        <v>26</v>
      </c>
      <c r="I822" t="s">
        <v>57</v>
      </c>
      <c r="J822" t="s">
        <v>37</v>
      </c>
      <c r="K822" s="2">
        <v>74523</v>
      </c>
      <c r="L822" t="s">
        <v>29</v>
      </c>
      <c r="M822" s="2">
        <v>0.36</v>
      </c>
      <c r="N822" s="2">
        <v>0.7</v>
      </c>
      <c r="O822" s="2">
        <v>3782.05</v>
      </c>
      <c r="P822" s="2">
        <v>0</v>
      </c>
      <c r="Q822">
        <f t="shared" si="48"/>
        <v>30147.142857142859</v>
      </c>
      <c r="R822">
        <f t="shared" ca="1" si="49"/>
        <v>34</v>
      </c>
      <c r="S822" s="2">
        <f t="shared" si="50"/>
        <v>-17320.95</v>
      </c>
      <c r="T822" s="18">
        <v>0.1</v>
      </c>
      <c r="U822">
        <f t="shared" si="51"/>
        <v>-19053.045000000002</v>
      </c>
    </row>
    <row r="823" spans="1:21" x14ac:dyDescent="0.3">
      <c r="A823" t="s">
        <v>1688</v>
      </c>
      <c r="B823" s="1">
        <v>44326</v>
      </c>
      <c r="C823" t="s">
        <v>1689</v>
      </c>
      <c r="D823" s="3" t="s">
        <v>56</v>
      </c>
      <c r="E823" s="2">
        <v>11754</v>
      </c>
      <c r="F823" s="2">
        <v>10.4</v>
      </c>
      <c r="G823" s="4">
        <v>60</v>
      </c>
      <c r="H823" t="s">
        <v>19</v>
      </c>
      <c r="I823" t="s">
        <v>20</v>
      </c>
      <c r="J823" t="s">
        <v>21</v>
      </c>
      <c r="K823" s="2">
        <v>91576</v>
      </c>
      <c r="L823" t="s">
        <v>33</v>
      </c>
      <c r="M823" s="2">
        <v>0.35</v>
      </c>
      <c r="N823" s="2">
        <v>0.62</v>
      </c>
      <c r="O823" s="2">
        <v>12976.42</v>
      </c>
      <c r="P823" s="2">
        <v>0</v>
      </c>
      <c r="Q823">
        <f t="shared" si="48"/>
        <v>18958.064516129034</v>
      </c>
      <c r="R823">
        <f t="shared" ca="1" si="49"/>
        <v>58</v>
      </c>
      <c r="S823" s="2">
        <f t="shared" si="50"/>
        <v>1222.42</v>
      </c>
      <c r="T823" s="18">
        <v>0.1</v>
      </c>
      <c r="U823">
        <f t="shared" si="51"/>
        <v>1344.6620000000003</v>
      </c>
    </row>
    <row r="824" spans="1:21" x14ac:dyDescent="0.3">
      <c r="A824" t="s">
        <v>1690</v>
      </c>
      <c r="B824" s="1">
        <v>44291</v>
      </c>
      <c r="C824" t="s">
        <v>1691</v>
      </c>
      <c r="D824" s="3" t="s">
        <v>53</v>
      </c>
      <c r="E824" s="2">
        <v>35447</v>
      </c>
      <c r="F824" s="2">
        <v>13</v>
      </c>
      <c r="G824" s="4">
        <v>36</v>
      </c>
      <c r="H824" t="s">
        <v>81</v>
      </c>
      <c r="I824" t="s">
        <v>57</v>
      </c>
      <c r="J824" t="s">
        <v>21</v>
      </c>
      <c r="K824" s="2">
        <v>73919</v>
      </c>
      <c r="L824" t="s">
        <v>29</v>
      </c>
      <c r="M824" s="2">
        <v>0.36</v>
      </c>
      <c r="N824" s="2">
        <v>0.88</v>
      </c>
      <c r="O824" s="2">
        <v>8869.57</v>
      </c>
      <c r="P824" s="2">
        <v>8023.15</v>
      </c>
      <c r="Q824">
        <f t="shared" si="48"/>
        <v>40280.681818181816</v>
      </c>
      <c r="R824">
        <f t="shared" ca="1" si="49"/>
        <v>59</v>
      </c>
      <c r="S824" s="2">
        <f t="shared" si="50"/>
        <v>-18554.28</v>
      </c>
      <c r="T824" s="18">
        <v>0.1</v>
      </c>
      <c r="U824">
        <f t="shared" si="51"/>
        <v>-20409.707999999999</v>
      </c>
    </row>
    <row r="825" spans="1:21" x14ac:dyDescent="0.3">
      <c r="A825" t="s">
        <v>1692</v>
      </c>
      <c r="B825" s="1">
        <v>44823</v>
      </c>
      <c r="C825" t="s">
        <v>1693</v>
      </c>
      <c r="D825" s="3" t="s">
        <v>40</v>
      </c>
      <c r="E825" s="2">
        <v>16901</v>
      </c>
      <c r="F825" s="2">
        <v>7.1</v>
      </c>
      <c r="G825" s="4">
        <v>60</v>
      </c>
      <c r="H825" t="s">
        <v>19</v>
      </c>
      <c r="I825" t="s">
        <v>27</v>
      </c>
      <c r="J825" t="s">
        <v>28</v>
      </c>
      <c r="K825" s="2">
        <v>112103</v>
      </c>
      <c r="L825" t="s">
        <v>33</v>
      </c>
      <c r="M825" s="2">
        <v>0.22</v>
      </c>
      <c r="N825" s="2">
        <v>0.82</v>
      </c>
      <c r="O825" s="2">
        <v>18100.97</v>
      </c>
      <c r="P825" s="2">
        <v>0</v>
      </c>
      <c r="Q825">
        <f t="shared" si="48"/>
        <v>20610.9756097561</v>
      </c>
      <c r="R825">
        <f t="shared" ca="1" si="49"/>
        <v>42</v>
      </c>
      <c r="S825" s="2">
        <f t="shared" si="50"/>
        <v>1199.9700000000012</v>
      </c>
      <c r="T825" s="18">
        <v>0.1</v>
      </c>
      <c r="U825">
        <f t="shared" si="51"/>
        <v>1319.9670000000015</v>
      </c>
    </row>
    <row r="826" spans="1:21" x14ac:dyDescent="0.3">
      <c r="A826" t="s">
        <v>1694</v>
      </c>
      <c r="B826" s="1">
        <v>44951</v>
      </c>
      <c r="C826" t="s">
        <v>1695</v>
      </c>
      <c r="D826" s="3" t="s">
        <v>40</v>
      </c>
      <c r="E826" s="2">
        <v>34004</v>
      </c>
      <c r="F826" s="2">
        <v>8.8000000000000007</v>
      </c>
      <c r="G826" s="4">
        <v>36</v>
      </c>
      <c r="H826" t="s">
        <v>19</v>
      </c>
      <c r="I826" t="s">
        <v>27</v>
      </c>
      <c r="J826" t="s">
        <v>21</v>
      </c>
      <c r="K826" s="2">
        <v>33358</v>
      </c>
      <c r="L826" t="s">
        <v>29</v>
      </c>
      <c r="M826" s="2">
        <v>0.44</v>
      </c>
      <c r="N826" s="2">
        <v>0.81</v>
      </c>
      <c r="O826" s="2">
        <v>36996.35</v>
      </c>
      <c r="P826" s="2">
        <v>0</v>
      </c>
      <c r="Q826">
        <f t="shared" si="48"/>
        <v>41980.246913580246</v>
      </c>
      <c r="R826">
        <f t="shared" ca="1" si="49"/>
        <v>37</v>
      </c>
      <c r="S826" s="2">
        <f t="shared" si="50"/>
        <v>2992.3499999999985</v>
      </c>
      <c r="T826" s="18">
        <v>0.1</v>
      </c>
      <c r="U826">
        <f t="shared" si="51"/>
        <v>3291.5849999999987</v>
      </c>
    </row>
    <row r="827" spans="1:21" x14ac:dyDescent="0.3">
      <c r="A827" t="s">
        <v>1696</v>
      </c>
      <c r="B827" s="1">
        <v>44990</v>
      </c>
      <c r="C827" t="s">
        <v>1697</v>
      </c>
      <c r="D827" s="3" t="s">
        <v>76</v>
      </c>
      <c r="E827" s="2">
        <v>8446</v>
      </c>
      <c r="F827" s="2">
        <v>20.7</v>
      </c>
      <c r="G827" s="4">
        <v>60</v>
      </c>
      <c r="H827" t="s">
        <v>81</v>
      </c>
      <c r="I827" t="s">
        <v>20</v>
      </c>
      <c r="J827" t="s">
        <v>28</v>
      </c>
      <c r="K827" s="2">
        <v>118535</v>
      </c>
      <c r="L827" t="s">
        <v>22</v>
      </c>
      <c r="M827" s="2">
        <v>0.48</v>
      </c>
      <c r="N827" s="2">
        <v>0.9</v>
      </c>
      <c r="O827" s="2">
        <v>1999.88</v>
      </c>
      <c r="P827" s="2">
        <v>1314.2</v>
      </c>
      <c r="Q827">
        <f t="shared" si="48"/>
        <v>9384.4444444444434</v>
      </c>
      <c r="R827">
        <f t="shared" ca="1" si="49"/>
        <v>36</v>
      </c>
      <c r="S827" s="2">
        <f t="shared" si="50"/>
        <v>-5131.92</v>
      </c>
      <c r="T827" s="18">
        <v>0.1</v>
      </c>
      <c r="U827">
        <f t="shared" si="51"/>
        <v>-5645.112000000001</v>
      </c>
    </row>
    <row r="828" spans="1:21" x14ac:dyDescent="0.3">
      <c r="A828" t="s">
        <v>1698</v>
      </c>
      <c r="B828" s="1">
        <v>44265</v>
      </c>
      <c r="C828" t="s">
        <v>1699</v>
      </c>
      <c r="D828" s="3" t="s">
        <v>56</v>
      </c>
      <c r="E828" s="2">
        <v>38211</v>
      </c>
      <c r="F828" s="2">
        <v>19.3</v>
      </c>
      <c r="G828" s="4">
        <v>60</v>
      </c>
      <c r="H828" t="s">
        <v>26</v>
      </c>
      <c r="I828" t="s">
        <v>27</v>
      </c>
      <c r="J828" t="s">
        <v>37</v>
      </c>
      <c r="K828" s="2">
        <v>137894</v>
      </c>
      <c r="L828" t="s">
        <v>29</v>
      </c>
      <c r="M828" s="2">
        <v>0.19</v>
      </c>
      <c r="N828" s="2">
        <v>0.81</v>
      </c>
      <c r="O828" s="2">
        <v>7832.97</v>
      </c>
      <c r="P828" s="2">
        <v>0</v>
      </c>
      <c r="Q828">
        <f t="shared" si="48"/>
        <v>47174.074074074073</v>
      </c>
      <c r="R828">
        <f t="shared" ca="1" si="49"/>
        <v>60</v>
      </c>
      <c r="S828" s="2">
        <f t="shared" si="50"/>
        <v>-30378.03</v>
      </c>
      <c r="T828" s="18">
        <v>0.1</v>
      </c>
      <c r="U828">
        <f t="shared" si="51"/>
        <v>-33415.832999999999</v>
      </c>
    </row>
    <row r="829" spans="1:21" x14ac:dyDescent="0.3">
      <c r="A829" t="s">
        <v>1700</v>
      </c>
      <c r="B829" s="1">
        <v>44207</v>
      </c>
      <c r="C829" t="s">
        <v>1701</v>
      </c>
      <c r="D829" s="3" t="s">
        <v>40</v>
      </c>
      <c r="E829" s="2">
        <v>30301</v>
      </c>
      <c r="F829" s="2">
        <v>16.899999999999999</v>
      </c>
      <c r="G829" s="4">
        <v>60</v>
      </c>
      <c r="H829" t="s">
        <v>19</v>
      </c>
      <c r="I829" t="s">
        <v>20</v>
      </c>
      <c r="J829" t="s">
        <v>37</v>
      </c>
      <c r="K829" s="2">
        <v>106524</v>
      </c>
      <c r="L829" t="s">
        <v>33</v>
      </c>
      <c r="M829" s="2">
        <v>0.14000000000000001</v>
      </c>
      <c r="N829" s="2">
        <v>0.63</v>
      </c>
      <c r="O829" s="2">
        <v>35421.870000000003</v>
      </c>
      <c r="P829" s="2">
        <v>0</v>
      </c>
      <c r="Q829">
        <f t="shared" si="48"/>
        <v>48096.825396825399</v>
      </c>
      <c r="R829">
        <f t="shared" ca="1" si="49"/>
        <v>62</v>
      </c>
      <c r="S829" s="2">
        <f t="shared" si="50"/>
        <v>5120.8700000000026</v>
      </c>
      <c r="T829" s="18">
        <v>0.1</v>
      </c>
      <c r="U829">
        <f t="shared" si="51"/>
        <v>5632.9570000000031</v>
      </c>
    </row>
    <row r="830" spans="1:21" x14ac:dyDescent="0.3">
      <c r="A830" t="s">
        <v>1702</v>
      </c>
      <c r="B830" s="1">
        <v>45068</v>
      </c>
      <c r="C830" t="s">
        <v>1703</v>
      </c>
      <c r="D830" s="3" t="s">
        <v>40</v>
      </c>
      <c r="E830" s="2">
        <v>27116</v>
      </c>
      <c r="F830" s="2">
        <v>22.9</v>
      </c>
      <c r="G830" s="4">
        <v>36</v>
      </c>
      <c r="H830" t="s">
        <v>26</v>
      </c>
      <c r="I830" t="s">
        <v>73</v>
      </c>
      <c r="J830" t="s">
        <v>28</v>
      </c>
      <c r="K830" s="2">
        <v>135982</v>
      </c>
      <c r="L830" t="s">
        <v>22</v>
      </c>
      <c r="M830" s="2">
        <v>0.18</v>
      </c>
      <c r="N830" s="2">
        <v>0.81</v>
      </c>
      <c r="O830" s="2">
        <v>9820.9699999999993</v>
      </c>
      <c r="P830" s="2">
        <v>0</v>
      </c>
      <c r="Q830">
        <f t="shared" si="48"/>
        <v>33476.543209876538</v>
      </c>
      <c r="R830">
        <f t="shared" ca="1" si="49"/>
        <v>33</v>
      </c>
      <c r="S830" s="2">
        <f t="shared" si="50"/>
        <v>-17295.03</v>
      </c>
      <c r="T830" s="18">
        <v>0.1</v>
      </c>
      <c r="U830">
        <f t="shared" si="51"/>
        <v>-19024.532999999999</v>
      </c>
    </row>
    <row r="831" spans="1:21" x14ac:dyDescent="0.3">
      <c r="A831" t="s">
        <v>1704</v>
      </c>
      <c r="B831" s="1">
        <v>44746</v>
      </c>
      <c r="C831" t="s">
        <v>1705</v>
      </c>
      <c r="D831" s="3" t="s">
        <v>25</v>
      </c>
      <c r="E831" s="2">
        <v>19752</v>
      </c>
      <c r="F831" s="2">
        <v>16.7</v>
      </c>
      <c r="G831" s="4">
        <v>60</v>
      </c>
      <c r="H831" t="s">
        <v>60</v>
      </c>
      <c r="I831" t="s">
        <v>57</v>
      </c>
      <c r="J831" t="s">
        <v>47</v>
      </c>
      <c r="K831" s="2">
        <v>127057</v>
      </c>
      <c r="L831" t="s">
        <v>33</v>
      </c>
      <c r="M831" s="2">
        <v>0.43</v>
      </c>
      <c r="N831" s="2">
        <v>0.64</v>
      </c>
      <c r="O831" s="2">
        <v>0</v>
      </c>
      <c r="P831" s="2">
        <v>0</v>
      </c>
      <c r="Q831">
        <f t="shared" si="48"/>
        <v>30862.5</v>
      </c>
      <c r="R831">
        <f t="shared" ca="1" si="49"/>
        <v>44</v>
      </c>
      <c r="S831" s="2">
        <f t="shared" si="50"/>
        <v>-19752</v>
      </c>
      <c r="T831" s="18">
        <v>0.1</v>
      </c>
      <c r="U831">
        <f t="shared" si="51"/>
        <v>-21727.200000000001</v>
      </c>
    </row>
    <row r="832" spans="1:21" x14ac:dyDescent="0.3">
      <c r="A832" t="s">
        <v>1706</v>
      </c>
      <c r="B832" s="1">
        <v>44908</v>
      </c>
      <c r="C832" t="s">
        <v>1707</v>
      </c>
      <c r="D832" s="3" t="s">
        <v>53</v>
      </c>
      <c r="E832" s="2">
        <v>33376</v>
      </c>
      <c r="F832" s="2">
        <v>14.3</v>
      </c>
      <c r="G832" s="4">
        <v>60</v>
      </c>
      <c r="H832" t="s">
        <v>26</v>
      </c>
      <c r="I832" t="s">
        <v>73</v>
      </c>
      <c r="J832" t="s">
        <v>37</v>
      </c>
      <c r="K832" s="2">
        <v>35698</v>
      </c>
      <c r="L832" t="s">
        <v>29</v>
      </c>
      <c r="M832" s="2">
        <v>0.37</v>
      </c>
      <c r="N832" s="2">
        <v>0.84</v>
      </c>
      <c r="O832" s="2">
        <v>13076.81</v>
      </c>
      <c r="P832" s="2">
        <v>0</v>
      </c>
      <c r="Q832">
        <f t="shared" si="48"/>
        <v>39733.333333333336</v>
      </c>
      <c r="R832">
        <f t="shared" ca="1" si="49"/>
        <v>39</v>
      </c>
      <c r="S832" s="2">
        <f t="shared" si="50"/>
        <v>-20299.190000000002</v>
      </c>
      <c r="T832" s="18">
        <v>0.1</v>
      </c>
      <c r="U832">
        <f t="shared" si="51"/>
        <v>-22329.109000000004</v>
      </c>
    </row>
    <row r="833" spans="1:21" x14ac:dyDescent="0.3">
      <c r="A833" t="s">
        <v>1708</v>
      </c>
      <c r="B833" s="1">
        <v>44219</v>
      </c>
      <c r="C833" t="s">
        <v>1709</v>
      </c>
      <c r="D833" s="3" t="s">
        <v>76</v>
      </c>
      <c r="E833" s="2">
        <v>17669</v>
      </c>
      <c r="F833" s="2">
        <v>11.8</v>
      </c>
      <c r="G833" s="4">
        <v>36</v>
      </c>
      <c r="H833" t="s">
        <v>26</v>
      </c>
      <c r="I833" t="s">
        <v>57</v>
      </c>
      <c r="J833" t="s">
        <v>47</v>
      </c>
      <c r="K833" s="2">
        <v>96809</v>
      </c>
      <c r="L833" t="s">
        <v>22</v>
      </c>
      <c r="M833" s="2">
        <v>0.35</v>
      </c>
      <c r="N833" s="2">
        <v>0.78</v>
      </c>
      <c r="O833" s="2">
        <v>7665.57</v>
      </c>
      <c r="P833" s="2">
        <v>0</v>
      </c>
      <c r="Q833">
        <f t="shared" si="48"/>
        <v>22652.564102564102</v>
      </c>
      <c r="R833">
        <f t="shared" ca="1" si="49"/>
        <v>61</v>
      </c>
      <c r="S833" s="2">
        <f t="shared" si="50"/>
        <v>-10003.43</v>
      </c>
      <c r="T833" s="18">
        <v>0.1</v>
      </c>
      <c r="U833">
        <f t="shared" si="51"/>
        <v>-11003.773000000001</v>
      </c>
    </row>
    <row r="834" spans="1:21" x14ac:dyDescent="0.3">
      <c r="A834" t="s">
        <v>1710</v>
      </c>
      <c r="B834" s="1">
        <v>45011</v>
      </c>
      <c r="C834" t="s">
        <v>1711</v>
      </c>
      <c r="D834" s="3" t="s">
        <v>72</v>
      </c>
      <c r="E834" s="2">
        <v>33916</v>
      </c>
      <c r="F834" s="2">
        <v>23.8</v>
      </c>
      <c r="G834" s="4">
        <v>60</v>
      </c>
      <c r="H834" t="s">
        <v>26</v>
      </c>
      <c r="I834" t="s">
        <v>41</v>
      </c>
      <c r="J834" t="s">
        <v>37</v>
      </c>
      <c r="K834" s="2">
        <v>123079</v>
      </c>
      <c r="L834" t="s">
        <v>33</v>
      </c>
      <c r="M834" s="2">
        <v>0.26</v>
      </c>
      <c r="N834" s="2">
        <v>0.53</v>
      </c>
      <c r="O834" s="2">
        <v>16543.73</v>
      </c>
      <c r="P834" s="2">
        <v>0</v>
      </c>
      <c r="Q834">
        <f t="shared" si="48"/>
        <v>63992.452830188675</v>
      </c>
      <c r="R834">
        <f t="shared" ca="1" si="49"/>
        <v>35</v>
      </c>
      <c r="S834" s="2">
        <f t="shared" si="50"/>
        <v>-17372.27</v>
      </c>
      <c r="T834" s="18">
        <v>0.1</v>
      </c>
      <c r="U834">
        <f t="shared" si="51"/>
        <v>-19109.497000000003</v>
      </c>
    </row>
    <row r="835" spans="1:21" x14ac:dyDescent="0.3">
      <c r="A835" t="s">
        <v>1712</v>
      </c>
      <c r="B835" s="1">
        <v>44542</v>
      </c>
      <c r="C835" t="s">
        <v>1713</v>
      </c>
      <c r="D835" s="3" t="s">
        <v>18</v>
      </c>
      <c r="E835" s="2">
        <v>14395</v>
      </c>
      <c r="F835" s="2">
        <v>6.7</v>
      </c>
      <c r="G835" s="4">
        <v>36</v>
      </c>
      <c r="H835" t="s">
        <v>19</v>
      </c>
      <c r="I835" t="s">
        <v>57</v>
      </c>
      <c r="J835" t="s">
        <v>37</v>
      </c>
      <c r="K835" s="2">
        <v>85805</v>
      </c>
      <c r="L835" t="s">
        <v>22</v>
      </c>
      <c r="M835" s="2">
        <v>0.33</v>
      </c>
      <c r="N835" s="2">
        <v>0.73</v>
      </c>
      <c r="O835" s="2">
        <v>15359.46</v>
      </c>
      <c r="P835" s="2">
        <v>0</v>
      </c>
      <c r="Q835">
        <f t="shared" ref="Q835:Q898" si="52">E835/N835</f>
        <v>19719.178082191782</v>
      </c>
      <c r="R835">
        <f t="shared" ref="R835:R898" ca="1" si="53">DATEDIF(B835, TODAY(), "M")</f>
        <v>51</v>
      </c>
      <c r="S835" s="2">
        <f t="shared" ref="S835:S898" si="54">(O835+P835)-E835</f>
        <v>964.45999999999913</v>
      </c>
      <c r="T835" s="18">
        <v>0.1</v>
      </c>
      <c r="U835">
        <f t="shared" ref="U835:U898" si="55">S835*(1+T835)</f>
        <v>1060.905999999999</v>
      </c>
    </row>
    <row r="836" spans="1:21" x14ac:dyDescent="0.3">
      <c r="A836" t="s">
        <v>1714</v>
      </c>
      <c r="B836" s="1">
        <v>44498</v>
      </c>
      <c r="C836" t="s">
        <v>1715</v>
      </c>
      <c r="D836" s="3" t="s">
        <v>65</v>
      </c>
      <c r="E836" s="2">
        <v>21421</v>
      </c>
      <c r="F836" s="2">
        <v>23.6</v>
      </c>
      <c r="G836" s="4">
        <v>36</v>
      </c>
      <c r="H836" t="s">
        <v>26</v>
      </c>
      <c r="I836" t="s">
        <v>20</v>
      </c>
      <c r="J836" t="s">
        <v>32</v>
      </c>
      <c r="K836" s="2">
        <v>61349</v>
      </c>
      <c r="L836" t="s">
        <v>22</v>
      </c>
      <c r="M836" s="2">
        <v>0.22</v>
      </c>
      <c r="N836" s="2">
        <v>0.65</v>
      </c>
      <c r="O836" s="2">
        <v>3641.47</v>
      </c>
      <c r="P836" s="2">
        <v>0</v>
      </c>
      <c r="Q836">
        <f t="shared" si="52"/>
        <v>32955.384615384617</v>
      </c>
      <c r="R836">
        <f t="shared" ca="1" si="53"/>
        <v>52</v>
      </c>
      <c r="S836" s="2">
        <f t="shared" si="54"/>
        <v>-17779.53</v>
      </c>
      <c r="T836" s="18">
        <v>0.1</v>
      </c>
      <c r="U836">
        <f t="shared" si="55"/>
        <v>-19557.483</v>
      </c>
    </row>
    <row r="837" spans="1:21" x14ac:dyDescent="0.3">
      <c r="A837" t="s">
        <v>1716</v>
      </c>
      <c r="B837" s="1">
        <v>44559</v>
      </c>
      <c r="C837" t="s">
        <v>1717</v>
      </c>
      <c r="D837" s="3" t="s">
        <v>65</v>
      </c>
      <c r="E837" s="2">
        <v>27342</v>
      </c>
      <c r="F837" s="2">
        <v>21.5</v>
      </c>
      <c r="G837" s="4">
        <v>36</v>
      </c>
      <c r="H837" t="s">
        <v>19</v>
      </c>
      <c r="I837" t="s">
        <v>57</v>
      </c>
      <c r="J837" t="s">
        <v>21</v>
      </c>
      <c r="K837" s="2">
        <v>106777</v>
      </c>
      <c r="L837" t="s">
        <v>33</v>
      </c>
      <c r="M837" s="2">
        <v>0.28999999999999998</v>
      </c>
      <c r="N837" s="2">
        <v>0.65</v>
      </c>
      <c r="O837" s="2">
        <v>33220.53</v>
      </c>
      <c r="P837" s="2">
        <v>0</v>
      </c>
      <c r="Q837">
        <f t="shared" si="52"/>
        <v>42064.615384615383</v>
      </c>
      <c r="R837">
        <f t="shared" ca="1" si="53"/>
        <v>50</v>
      </c>
      <c r="S837" s="2">
        <f t="shared" si="54"/>
        <v>5878.5299999999988</v>
      </c>
      <c r="T837" s="18">
        <v>0.1</v>
      </c>
      <c r="U837">
        <f t="shared" si="55"/>
        <v>6466.3829999999989</v>
      </c>
    </row>
    <row r="838" spans="1:21" x14ac:dyDescent="0.3">
      <c r="A838" t="s">
        <v>1718</v>
      </c>
      <c r="B838" s="1">
        <v>44592</v>
      </c>
      <c r="C838" t="s">
        <v>1719</v>
      </c>
      <c r="D838" s="3" t="s">
        <v>46</v>
      </c>
      <c r="E838" s="2">
        <v>5895</v>
      </c>
      <c r="F838" s="2">
        <v>7.6</v>
      </c>
      <c r="G838" s="4">
        <v>36</v>
      </c>
      <c r="H838" t="s">
        <v>81</v>
      </c>
      <c r="I838" t="s">
        <v>36</v>
      </c>
      <c r="J838" t="s">
        <v>21</v>
      </c>
      <c r="K838" s="2">
        <v>80248</v>
      </c>
      <c r="L838" t="s">
        <v>22</v>
      </c>
      <c r="M838" s="2">
        <v>0.42</v>
      </c>
      <c r="N838" s="2">
        <v>0.77</v>
      </c>
      <c r="O838" s="2">
        <v>1855.91</v>
      </c>
      <c r="P838" s="2">
        <v>1714.08</v>
      </c>
      <c r="Q838">
        <f t="shared" si="52"/>
        <v>7655.8441558441555</v>
      </c>
      <c r="R838">
        <f t="shared" ca="1" si="53"/>
        <v>49</v>
      </c>
      <c r="S838" s="2">
        <f t="shared" si="54"/>
        <v>-2325.0100000000002</v>
      </c>
      <c r="T838" s="18">
        <v>0.1</v>
      </c>
      <c r="U838">
        <f t="shared" si="55"/>
        <v>-2557.5110000000004</v>
      </c>
    </row>
    <row r="839" spans="1:21" x14ac:dyDescent="0.3">
      <c r="A839" t="s">
        <v>1720</v>
      </c>
      <c r="B839" s="1">
        <v>44414</v>
      </c>
      <c r="C839" t="s">
        <v>1721</v>
      </c>
      <c r="D839" s="3" t="s">
        <v>18</v>
      </c>
      <c r="E839" s="2">
        <v>12023</v>
      </c>
      <c r="F839" s="2">
        <v>16.3</v>
      </c>
      <c r="G839" s="4">
        <v>36</v>
      </c>
      <c r="H839" t="s">
        <v>19</v>
      </c>
      <c r="I839" t="s">
        <v>27</v>
      </c>
      <c r="J839" t="s">
        <v>47</v>
      </c>
      <c r="K839" s="2">
        <v>105033</v>
      </c>
      <c r="L839" t="s">
        <v>33</v>
      </c>
      <c r="M839" s="2">
        <v>0.49</v>
      </c>
      <c r="N839" s="2">
        <v>0.65</v>
      </c>
      <c r="O839" s="2">
        <v>13982.75</v>
      </c>
      <c r="P839" s="2">
        <v>0</v>
      </c>
      <c r="Q839">
        <f t="shared" si="52"/>
        <v>18496.923076923078</v>
      </c>
      <c r="R839">
        <f t="shared" ca="1" si="53"/>
        <v>55</v>
      </c>
      <c r="S839" s="2">
        <f t="shared" si="54"/>
        <v>1959.75</v>
      </c>
      <c r="T839" s="18">
        <v>0.1</v>
      </c>
      <c r="U839">
        <f t="shared" si="55"/>
        <v>2155.7250000000004</v>
      </c>
    </row>
    <row r="840" spans="1:21" x14ac:dyDescent="0.3">
      <c r="A840" t="s">
        <v>1722</v>
      </c>
      <c r="B840" s="1">
        <v>44337</v>
      </c>
      <c r="C840" t="s">
        <v>1723</v>
      </c>
      <c r="D840" s="3" t="s">
        <v>18</v>
      </c>
      <c r="E840" s="2">
        <v>11699</v>
      </c>
      <c r="F840" s="2">
        <v>22.3</v>
      </c>
      <c r="G840" s="4">
        <v>60</v>
      </c>
      <c r="H840" t="s">
        <v>26</v>
      </c>
      <c r="I840" t="s">
        <v>27</v>
      </c>
      <c r="J840" t="s">
        <v>21</v>
      </c>
      <c r="K840" s="2">
        <v>137411</v>
      </c>
      <c r="L840" t="s">
        <v>22</v>
      </c>
      <c r="M840" s="2">
        <v>0.47</v>
      </c>
      <c r="N840" s="2">
        <v>0.85</v>
      </c>
      <c r="O840" s="2">
        <v>2660.54</v>
      </c>
      <c r="P840" s="2">
        <v>0</v>
      </c>
      <c r="Q840">
        <f t="shared" si="52"/>
        <v>13763.529411764706</v>
      </c>
      <c r="R840">
        <f t="shared" ca="1" si="53"/>
        <v>57</v>
      </c>
      <c r="S840" s="2">
        <f t="shared" si="54"/>
        <v>-9038.4599999999991</v>
      </c>
      <c r="T840" s="18">
        <v>0.1</v>
      </c>
      <c r="U840">
        <f t="shared" si="55"/>
        <v>-9942.3060000000005</v>
      </c>
    </row>
    <row r="841" spans="1:21" x14ac:dyDescent="0.3">
      <c r="A841" t="s">
        <v>1724</v>
      </c>
      <c r="B841" s="1">
        <v>45154</v>
      </c>
      <c r="C841" t="s">
        <v>1725</v>
      </c>
      <c r="D841" s="3" t="s">
        <v>65</v>
      </c>
      <c r="E841" s="2">
        <v>10715</v>
      </c>
      <c r="F841" s="2">
        <v>16.399999999999999</v>
      </c>
      <c r="G841" s="4">
        <v>36</v>
      </c>
      <c r="H841" t="s">
        <v>19</v>
      </c>
      <c r="I841" t="s">
        <v>36</v>
      </c>
      <c r="J841" t="s">
        <v>47</v>
      </c>
      <c r="K841" s="2">
        <v>128239</v>
      </c>
      <c r="L841" t="s">
        <v>22</v>
      </c>
      <c r="M841" s="2">
        <v>0.47</v>
      </c>
      <c r="N841" s="2">
        <v>0.53</v>
      </c>
      <c r="O841" s="2">
        <v>12472.26</v>
      </c>
      <c r="P841" s="2">
        <v>0</v>
      </c>
      <c r="Q841">
        <f t="shared" si="52"/>
        <v>20216.981132075471</v>
      </c>
      <c r="R841">
        <f t="shared" ca="1" si="53"/>
        <v>31</v>
      </c>
      <c r="S841" s="2">
        <f t="shared" si="54"/>
        <v>1757.2600000000002</v>
      </c>
      <c r="T841" s="18">
        <v>0.1</v>
      </c>
      <c r="U841">
        <f t="shared" si="55"/>
        <v>1932.9860000000003</v>
      </c>
    </row>
    <row r="842" spans="1:21" x14ac:dyDescent="0.3">
      <c r="A842" t="s">
        <v>1726</v>
      </c>
      <c r="B842" s="1">
        <v>45181</v>
      </c>
      <c r="C842" t="s">
        <v>1727</v>
      </c>
      <c r="D842" s="3" t="s">
        <v>65</v>
      </c>
      <c r="E842" s="2">
        <v>20169</v>
      </c>
      <c r="F842" s="2">
        <v>23.1</v>
      </c>
      <c r="G842" s="4">
        <v>36</v>
      </c>
      <c r="H842" t="s">
        <v>19</v>
      </c>
      <c r="I842" t="s">
        <v>36</v>
      </c>
      <c r="J842" t="s">
        <v>37</v>
      </c>
      <c r="K842" s="2">
        <v>74041</v>
      </c>
      <c r="L842" t="s">
        <v>22</v>
      </c>
      <c r="M842" s="2">
        <v>0.26</v>
      </c>
      <c r="N842" s="2">
        <v>0.8</v>
      </c>
      <c r="O842" s="2">
        <v>24828.04</v>
      </c>
      <c r="P842" s="2">
        <v>0</v>
      </c>
      <c r="Q842">
        <f t="shared" si="52"/>
        <v>25211.25</v>
      </c>
      <c r="R842">
        <f t="shared" ca="1" si="53"/>
        <v>30</v>
      </c>
      <c r="S842" s="2">
        <f t="shared" si="54"/>
        <v>4659.0400000000009</v>
      </c>
      <c r="T842" s="18">
        <v>0.1</v>
      </c>
      <c r="U842">
        <f t="shared" si="55"/>
        <v>5124.9440000000013</v>
      </c>
    </row>
    <row r="843" spans="1:21" x14ac:dyDescent="0.3">
      <c r="A843" t="s">
        <v>1728</v>
      </c>
      <c r="B843" s="1">
        <v>45189</v>
      </c>
      <c r="C843" t="s">
        <v>1729</v>
      </c>
      <c r="D843" s="3" t="s">
        <v>72</v>
      </c>
      <c r="E843" s="2">
        <v>17163</v>
      </c>
      <c r="F843" s="2">
        <v>23.9</v>
      </c>
      <c r="G843" s="4">
        <v>36</v>
      </c>
      <c r="H843" t="s">
        <v>19</v>
      </c>
      <c r="I843" t="s">
        <v>27</v>
      </c>
      <c r="J843" t="s">
        <v>32</v>
      </c>
      <c r="K843" s="2">
        <v>61954</v>
      </c>
      <c r="L843" t="s">
        <v>29</v>
      </c>
      <c r="M843" s="2">
        <v>0.28999999999999998</v>
      </c>
      <c r="N843" s="2">
        <v>0.86</v>
      </c>
      <c r="O843" s="2">
        <v>21264.959999999999</v>
      </c>
      <c r="P843" s="2">
        <v>0</v>
      </c>
      <c r="Q843">
        <f t="shared" si="52"/>
        <v>19956.976744186046</v>
      </c>
      <c r="R843">
        <f t="shared" ca="1" si="53"/>
        <v>29</v>
      </c>
      <c r="S843" s="2">
        <f t="shared" si="54"/>
        <v>4101.9599999999991</v>
      </c>
      <c r="T843" s="18">
        <v>0.1</v>
      </c>
      <c r="U843">
        <f t="shared" si="55"/>
        <v>4512.155999999999</v>
      </c>
    </row>
    <row r="844" spans="1:21" x14ac:dyDescent="0.3">
      <c r="A844" t="s">
        <v>1730</v>
      </c>
      <c r="B844" s="1">
        <v>45024</v>
      </c>
      <c r="C844" t="s">
        <v>1731</v>
      </c>
      <c r="D844" s="3" t="s">
        <v>56</v>
      </c>
      <c r="E844" s="2">
        <v>6782</v>
      </c>
      <c r="F844" s="2">
        <v>13.4</v>
      </c>
      <c r="G844" s="4">
        <v>36</v>
      </c>
      <c r="H844" t="s">
        <v>60</v>
      </c>
      <c r="I844" t="s">
        <v>20</v>
      </c>
      <c r="J844" t="s">
        <v>32</v>
      </c>
      <c r="K844" s="2">
        <v>38002</v>
      </c>
      <c r="L844" t="s">
        <v>29</v>
      </c>
      <c r="M844" s="2">
        <v>0.38</v>
      </c>
      <c r="N844" s="2">
        <v>0.8</v>
      </c>
      <c r="O844" s="2">
        <v>0</v>
      </c>
      <c r="P844" s="2">
        <v>0</v>
      </c>
      <c r="Q844">
        <f t="shared" si="52"/>
        <v>8477.5</v>
      </c>
      <c r="R844">
        <f t="shared" ca="1" si="53"/>
        <v>35</v>
      </c>
      <c r="S844" s="2">
        <f t="shared" si="54"/>
        <v>-6782</v>
      </c>
      <c r="T844" s="18">
        <v>0.1</v>
      </c>
      <c r="U844">
        <f t="shared" si="55"/>
        <v>-7460.2000000000007</v>
      </c>
    </row>
    <row r="845" spans="1:21" x14ac:dyDescent="0.3">
      <c r="A845" t="s">
        <v>1732</v>
      </c>
      <c r="B845" s="1">
        <v>44879</v>
      </c>
      <c r="C845" t="s">
        <v>1733</v>
      </c>
      <c r="D845" s="3" t="s">
        <v>56</v>
      </c>
      <c r="E845" s="2">
        <v>23641</v>
      </c>
      <c r="F845" s="2">
        <v>12.5</v>
      </c>
      <c r="G845" s="4">
        <v>60</v>
      </c>
      <c r="H845" t="s">
        <v>60</v>
      </c>
      <c r="I845" t="s">
        <v>84</v>
      </c>
      <c r="J845" t="s">
        <v>37</v>
      </c>
      <c r="K845" s="2">
        <v>99783</v>
      </c>
      <c r="L845" t="s">
        <v>33</v>
      </c>
      <c r="M845" s="2">
        <v>0.47</v>
      </c>
      <c r="N845" s="2">
        <v>0.72</v>
      </c>
      <c r="O845" s="2">
        <v>0</v>
      </c>
      <c r="P845" s="2">
        <v>0</v>
      </c>
      <c r="Q845">
        <f t="shared" si="52"/>
        <v>32834.722222222226</v>
      </c>
      <c r="R845">
        <f t="shared" ca="1" si="53"/>
        <v>40</v>
      </c>
      <c r="S845" s="2">
        <f t="shared" si="54"/>
        <v>-23641</v>
      </c>
      <c r="T845" s="18">
        <v>0.1</v>
      </c>
      <c r="U845">
        <f t="shared" si="55"/>
        <v>-26005.100000000002</v>
      </c>
    </row>
    <row r="846" spans="1:21" x14ac:dyDescent="0.3">
      <c r="A846" t="s">
        <v>1734</v>
      </c>
      <c r="B846" s="1">
        <v>45200</v>
      </c>
      <c r="C846" t="s">
        <v>1735</v>
      </c>
      <c r="D846" s="3" t="s">
        <v>72</v>
      </c>
      <c r="E846" s="2">
        <v>19792</v>
      </c>
      <c r="F846" s="2">
        <v>23.7</v>
      </c>
      <c r="G846" s="4">
        <v>36</v>
      </c>
      <c r="H846" t="s">
        <v>19</v>
      </c>
      <c r="I846" t="s">
        <v>20</v>
      </c>
      <c r="J846" t="s">
        <v>28</v>
      </c>
      <c r="K846" s="2">
        <v>137524</v>
      </c>
      <c r="L846" t="s">
        <v>22</v>
      </c>
      <c r="M846" s="2">
        <v>0.16</v>
      </c>
      <c r="N846" s="2">
        <v>0.93</v>
      </c>
      <c r="O846" s="2">
        <v>24482.7</v>
      </c>
      <c r="P846" s="2">
        <v>0</v>
      </c>
      <c r="Q846">
        <f t="shared" si="52"/>
        <v>21281.720430107525</v>
      </c>
      <c r="R846">
        <f t="shared" ca="1" si="53"/>
        <v>29</v>
      </c>
      <c r="S846" s="2">
        <f t="shared" si="54"/>
        <v>4690.7000000000007</v>
      </c>
      <c r="T846" s="18">
        <v>0.1</v>
      </c>
      <c r="U846">
        <f t="shared" si="55"/>
        <v>5159.7700000000013</v>
      </c>
    </row>
    <row r="847" spans="1:21" x14ac:dyDescent="0.3">
      <c r="A847" t="s">
        <v>1736</v>
      </c>
      <c r="B847" s="1">
        <v>44552</v>
      </c>
      <c r="C847" t="s">
        <v>1737</v>
      </c>
      <c r="D847" s="3" t="s">
        <v>53</v>
      </c>
      <c r="E847" s="2">
        <v>36585</v>
      </c>
      <c r="F847" s="2">
        <v>18.5</v>
      </c>
      <c r="G847" s="4">
        <v>60</v>
      </c>
      <c r="H847" t="s">
        <v>315</v>
      </c>
      <c r="I847" t="s">
        <v>27</v>
      </c>
      <c r="J847" t="s">
        <v>28</v>
      </c>
      <c r="K847" s="2">
        <v>117234</v>
      </c>
      <c r="L847" t="s">
        <v>33</v>
      </c>
      <c r="M847" s="2">
        <v>0.22</v>
      </c>
      <c r="N847" s="2">
        <v>0.63</v>
      </c>
      <c r="O847" s="2">
        <v>0</v>
      </c>
      <c r="P847" s="2">
        <v>0</v>
      </c>
      <c r="Q847">
        <f t="shared" si="52"/>
        <v>58071.428571428572</v>
      </c>
      <c r="R847">
        <f t="shared" ca="1" si="53"/>
        <v>50</v>
      </c>
      <c r="S847" s="2">
        <f t="shared" si="54"/>
        <v>-36585</v>
      </c>
      <c r="T847" s="18">
        <v>0.1</v>
      </c>
      <c r="U847">
        <f t="shared" si="55"/>
        <v>-40243.5</v>
      </c>
    </row>
    <row r="848" spans="1:21" x14ac:dyDescent="0.3">
      <c r="A848" t="s">
        <v>1738</v>
      </c>
      <c r="B848" s="1">
        <v>45204</v>
      </c>
      <c r="C848" t="s">
        <v>1739</v>
      </c>
      <c r="D848" s="3" t="s">
        <v>18</v>
      </c>
      <c r="E848" s="2">
        <v>31682</v>
      </c>
      <c r="F848" s="2">
        <v>7.3</v>
      </c>
      <c r="G848" s="4">
        <v>36</v>
      </c>
      <c r="H848" t="s">
        <v>26</v>
      </c>
      <c r="I848" t="s">
        <v>27</v>
      </c>
      <c r="J848" t="s">
        <v>21</v>
      </c>
      <c r="K848" s="2">
        <v>49738</v>
      </c>
      <c r="L848" t="s">
        <v>29</v>
      </c>
      <c r="M848" s="2">
        <v>0.16</v>
      </c>
      <c r="N848" s="2">
        <v>0.51</v>
      </c>
      <c r="O848" s="2">
        <v>11237.19</v>
      </c>
      <c r="P848" s="2">
        <v>0</v>
      </c>
      <c r="Q848">
        <f t="shared" si="52"/>
        <v>62121.568627450979</v>
      </c>
      <c r="R848">
        <f t="shared" ca="1" si="53"/>
        <v>29</v>
      </c>
      <c r="S848" s="2">
        <f t="shared" si="54"/>
        <v>-20444.809999999998</v>
      </c>
      <c r="T848" s="18">
        <v>0.1</v>
      </c>
      <c r="U848">
        <f t="shared" si="55"/>
        <v>-22489.290999999997</v>
      </c>
    </row>
    <row r="849" spans="1:21" x14ac:dyDescent="0.3">
      <c r="A849" t="s">
        <v>1740</v>
      </c>
      <c r="B849" s="1">
        <v>45084</v>
      </c>
      <c r="C849" t="s">
        <v>1741</v>
      </c>
      <c r="D849" s="3" t="s">
        <v>50</v>
      </c>
      <c r="E849" s="2">
        <v>19880</v>
      </c>
      <c r="F849" s="2">
        <v>5.8</v>
      </c>
      <c r="G849" s="4">
        <v>60</v>
      </c>
      <c r="H849" t="s">
        <v>26</v>
      </c>
      <c r="I849" t="s">
        <v>27</v>
      </c>
      <c r="J849" t="s">
        <v>47</v>
      </c>
      <c r="K849" s="2">
        <v>40703</v>
      </c>
      <c r="L849" t="s">
        <v>29</v>
      </c>
      <c r="M849" s="2">
        <v>0.34</v>
      </c>
      <c r="N849" s="2">
        <v>0.69</v>
      </c>
      <c r="O849" s="2">
        <v>5252.13</v>
      </c>
      <c r="P849" s="2">
        <v>0</v>
      </c>
      <c r="Q849">
        <f t="shared" si="52"/>
        <v>28811.594202898552</v>
      </c>
      <c r="R849">
        <f t="shared" ca="1" si="53"/>
        <v>33</v>
      </c>
      <c r="S849" s="2">
        <f t="shared" si="54"/>
        <v>-14627.869999999999</v>
      </c>
      <c r="T849" s="18">
        <v>0.1</v>
      </c>
      <c r="U849">
        <f t="shared" si="55"/>
        <v>-16090.657000000001</v>
      </c>
    </row>
    <row r="850" spans="1:21" x14ac:dyDescent="0.3">
      <c r="A850" t="s">
        <v>1742</v>
      </c>
      <c r="B850" s="1">
        <v>44323</v>
      </c>
      <c r="C850" t="s">
        <v>1743</v>
      </c>
      <c r="D850" s="3" t="s">
        <v>18</v>
      </c>
      <c r="E850" s="2">
        <v>39067</v>
      </c>
      <c r="F850" s="2">
        <v>16.3</v>
      </c>
      <c r="G850" s="4">
        <v>36</v>
      </c>
      <c r="H850" t="s">
        <v>19</v>
      </c>
      <c r="I850" t="s">
        <v>73</v>
      </c>
      <c r="J850" t="s">
        <v>32</v>
      </c>
      <c r="K850" s="2">
        <v>143776</v>
      </c>
      <c r="L850" t="s">
        <v>29</v>
      </c>
      <c r="M850" s="2">
        <v>0.22</v>
      </c>
      <c r="N850" s="2">
        <v>0.51</v>
      </c>
      <c r="O850" s="2">
        <v>45434.92</v>
      </c>
      <c r="P850" s="2">
        <v>0</v>
      </c>
      <c r="Q850">
        <f t="shared" si="52"/>
        <v>76601.96078431372</v>
      </c>
      <c r="R850">
        <f t="shared" ca="1" si="53"/>
        <v>58</v>
      </c>
      <c r="S850" s="2">
        <f t="shared" si="54"/>
        <v>6367.9199999999983</v>
      </c>
      <c r="T850" s="18">
        <v>0.1</v>
      </c>
      <c r="U850">
        <f t="shared" si="55"/>
        <v>7004.7119999999986</v>
      </c>
    </row>
    <row r="851" spans="1:21" x14ac:dyDescent="0.3">
      <c r="A851" t="s">
        <v>1744</v>
      </c>
      <c r="B851" s="1">
        <v>45205</v>
      </c>
      <c r="C851" t="s">
        <v>1745</v>
      </c>
      <c r="D851" s="3" t="s">
        <v>46</v>
      </c>
      <c r="E851" s="2">
        <v>19073</v>
      </c>
      <c r="F851" s="2">
        <v>23.6</v>
      </c>
      <c r="G851" s="4">
        <v>36</v>
      </c>
      <c r="H851" t="s">
        <v>81</v>
      </c>
      <c r="I851" t="s">
        <v>27</v>
      </c>
      <c r="J851" t="s">
        <v>21</v>
      </c>
      <c r="K851" s="2">
        <v>79422</v>
      </c>
      <c r="L851" t="s">
        <v>29</v>
      </c>
      <c r="M851" s="2">
        <v>0.23</v>
      </c>
      <c r="N851" s="2">
        <v>0.93</v>
      </c>
      <c r="O851" s="2">
        <v>7593.57</v>
      </c>
      <c r="P851" s="2">
        <v>6148.31</v>
      </c>
      <c r="Q851">
        <f t="shared" si="52"/>
        <v>20508.602150537634</v>
      </c>
      <c r="R851">
        <f t="shared" ca="1" si="53"/>
        <v>29</v>
      </c>
      <c r="S851" s="2">
        <f t="shared" si="54"/>
        <v>-5331.119999999999</v>
      </c>
      <c r="T851" s="18">
        <v>0.1</v>
      </c>
      <c r="U851">
        <f t="shared" si="55"/>
        <v>-5864.2319999999991</v>
      </c>
    </row>
    <row r="852" spans="1:21" x14ac:dyDescent="0.3">
      <c r="A852" t="s">
        <v>1746</v>
      </c>
      <c r="B852" s="1">
        <v>44800</v>
      </c>
      <c r="C852" t="s">
        <v>1747</v>
      </c>
      <c r="D852" s="3" t="s">
        <v>65</v>
      </c>
      <c r="E852" s="2">
        <v>37035</v>
      </c>
      <c r="F852" s="2">
        <v>21.9</v>
      </c>
      <c r="G852" s="4">
        <v>60</v>
      </c>
      <c r="H852" t="s">
        <v>26</v>
      </c>
      <c r="I852" t="s">
        <v>36</v>
      </c>
      <c r="J852" t="s">
        <v>37</v>
      </c>
      <c r="K852" s="2">
        <v>113106</v>
      </c>
      <c r="L852" t="s">
        <v>33</v>
      </c>
      <c r="M852" s="2">
        <v>0.13</v>
      </c>
      <c r="N852" s="2">
        <v>0.59</v>
      </c>
      <c r="O852" s="2">
        <v>13999.45</v>
      </c>
      <c r="P852" s="2">
        <v>0</v>
      </c>
      <c r="Q852">
        <f t="shared" si="52"/>
        <v>62771.186440677971</v>
      </c>
      <c r="R852">
        <f t="shared" ca="1" si="53"/>
        <v>42</v>
      </c>
      <c r="S852" s="2">
        <f t="shared" si="54"/>
        <v>-23035.55</v>
      </c>
      <c r="T852" s="18">
        <v>0.1</v>
      </c>
      <c r="U852">
        <f t="shared" si="55"/>
        <v>-25339.105</v>
      </c>
    </row>
    <row r="853" spans="1:21" x14ac:dyDescent="0.3">
      <c r="A853" t="s">
        <v>1748</v>
      </c>
      <c r="B853" s="1">
        <v>45210</v>
      </c>
      <c r="C853" t="s">
        <v>1749</v>
      </c>
      <c r="D853" s="3" t="s">
        <v>18</v>
      </c>
      <c r="E853" s="2">
        <v>38174</v>
      </c>
      <c r="F853" s="2">
        <v>18.5</v>
      </c>
      <c r="G853" s="4">
        <v>36</v>
      </c>
      <c r="H853" t="s">
        <v>81</v>
      </c>
      <c r="I853" t="s">
        <v>20</v>
      </c>
      <c r="J853" t="s">
        <v>32</v>
      </c>
      <c r="K853" s="2">
        <v>91899</v>
      </c>
      <c r="L853" t="s">
        <v>22</v>
      </c>
      <c r="M853" s="2">
        <v>0.24</v>
      </c>
      <c r="N853" s="2">
        <v>0.86</v>
      </c>
      <c r="O853" s="2">
        <v>14725.52</v>
      </c>
      <c r="P853" s="2">
        <v>11118.32</v>
      </c>
      <c r="Q853">
        <f t="shared" si="52"/>
        <v>44388.372093023259</v>
      </c>
      <c r="R853">
        <f t="shared" ca="1" si="53"/>
        <v>29</v>
      </c>
      <c r="S853" s="2">
        <f t="shared" si="54"/>
        <v>-12330.16</v>
      </c>
      <c r="T853" s="18">
        <v>0.1</v>
      </c>
      <c r="U853">
        <f t="shared" si="55"/>
        <v>-13563.176000000001</v>
      </c>
    </row>
    <row r="854" spans="1:21" x14ac:dyDescent="0.3">
      <c r="A854" t="s">
        <v>1750</v>
      </c>
      <c r="B854" s="1">
        <v>44247</v>
      </c>
      <c r="C854" t="s">
        <v>1751</v>
      </c>
      <c r="D854" s="3" t="s">
        <v>65</v>
      </c>
      <c r="E854" s="2">
        <v>25837</v>
      </c>
      <c r="F854" s="2">
        <v>7.8</v>
      </c>
      <c r="G854" s="4">
        <v>60</v>
      </c>
      <c r="H854" t="s">
        <v>26</v>
      </c>
      <c r="I854" t="s">
        <v>57</v>
      </c>
      <c r="J854" t="s">
        <v>47</v>
      </c>
      <c r="K854" s="2">
        <v>42392</v>
      </c>
      <c r="L854" t="s">
        <v>33</v>
      </c>
      <c r="M854" s="2">
        <v>0.44</v>
      </c>
      <c r="N854" s="2">
        <v>0.85</v>
      </c>
      <c r="O854" s="2">
        <v>10999.75</v>
      </c>
      <c r="P854" s="2">
        <v>0</v>
      </c>
      <c r="Q854">
        <f t="shared" si="52"/>
        <v>30396.470588235294</v>
      </c>
      <c r="R854">
        <f t="shared" ca="1" si="53"/>
        <v>60</v>
      </c>
      <c r="S854" s="2">
        <f t="shared" si="54"/>
        <v>-14837.25</v>
      </c>
      <c r="T854" s="18">
        <v>0.1</v>
      </c>
      <c r="U854">
        <f t="shared" si="55"/>
        <v>-16320.975000000002</v>
      </c>
    </row>
    <row r="855" spans="1:21" x14ac:dyDescent="0.3">
      <c r="A855" t="s">
        <v>1752</v>
      </c>
      <c r="B855" s="1">
        <v>45249</v>
      </c>
      <c r="C855" t="s">
        <v>1753</v>
      </c>
      <c r="D855" s="3" t="s">
        <v>18</v>
      </c>
      <c r="E855" s="2">
        <v>18826</v>
      </c>
      <c r="F855" s="2">
        <v>10.1</v>
      </c>
      <c r="G855" s="4">
        <v>36</v>
      </c>
      <c r="H855" t="s">
        <v>26</v>
      </c>
      <c r="I855" t="s">
        <v>73</v>
      </c>
      <c r="J855" t="s">
        <v>47</v>
      </c>
      <c r="K855" s="2">
        <v>74724</v>
      </c>
      <c r="L855" t="s">
        <v>22</v>
      </c>
      <c r="M855" s="2">
        <v>0.19</v>
      </c>
      <c r="N855" s="2">
        <v>0.6</v>
      </c>
      <c r="O855" s="2">
        <v>8590.41</v>
      </c>
      <c r="P855" s="2">
        <v>0</v>
      </c>
      <c r="Q855">
        <f t="shared" si="52"/>
        <v>31376.666666666668</v>
      </c>
      <c r="R855">
        <f t="shared" ca="1" si="53"/>
        <v>28</v>
      </c>
      <c r="S855" s="2">
        <f t="shared" si="54"/>
        <v>-10235.59</v>
      </c>
      <c r="T855" s="18">
        <v>0.1</v>
      </c>
      <c r="U855">
        <f t="shared" si="55"/>
        <v>-11259.149000000001</v>
      </c>
    </row>
    <row r="856" spans="1:21" x14ac:dyDescent="0.3">
      <c r="A856" t="s">
        <v>1754</v>
      </c>
      <c r="B856" s="1">
        <v>44975</v>
      </c>
      <c r="C856" t="s">
        <v>1755</v>
      </c>
      <c r="D856" s="3" t="s">
        <v>46</v>
      </c>
      <c r="E856" s="2">
        <v>25981</v>
      </c>
      <c r="F856" s="2">
        <v>22.5</v>
      </c>
      <c r="G856" s="4">
        <v>60</v>
      </c>
      <c r="H856" t="s">
        <v>26</v>
      </c>
      <c r="I856" t="s">
        <v>41</v>
      </c>
      <c r="J856" t="s">
        <v>28</v>
      </c>
      <c r="K856" s="2">
        <v>62299</v>
      </c>
      <c r="L856" t="s">
        <v>29</v>
      </c>
      <c r="M856" s="2">
        <v>0.38</v>
      </c>
      <c r="N856" s="2">
        <v>0.78</v>
      </c>
      <c r="O856" s="2">
        <v>10820.79</v>
      </c>
      <c r="P856" s="2">
        <v>0</v>
      </c>
      <c r="Q856">
        <f t="shared" si="52"/>
        <v>33308.974358974359</v>
      </c>
      <c r="R856">
        <f t="shared" ca="1" si="53"/>
        <v>37</v>
      </c>
      <c r="S856" s="2">
        <f t="shared" si="54"/>
        <v>-15160.21</v>
      </c>
      <c r="T856" s="18">
        <v>0.1</v>
      </c>
      <c r="U856">
        <f t="shared" si="55"/>
        <v>-16676.231</v>
      </c>
    </row>
    <row r="857" spans="1:21" x14ac:dyDescent="0.3">
      <c r="A857" t="s">
        <v>1756</v>
      </c>
      <c r="B857" s="1">
        <v>45010</v>
      </c>
      <c r="C857" t="s">
        <v>1757</v>
      </c>
      <c r="D857" s="3" t="s">
        <v>53</v>
      </c>
      <c r="E857" s="2">
        <v>11382</v>
      </c>
      <c r="F857" s="2">
        <v>8.6999999999999993</v>
      </c>
      <c r="G857" s="4">
        <v>36</v>
      </c>
      <c r="H857" t="s">
        <v>19</v>
      </c>
      <c r="I857" t="s">
        <v>20</v>
      </c>
      <c r="J857" t="s">
        <v>21</v>
      </c>
      <c r="K857" s="2">
        <v>45641</v>
      </c>
      <c r="L857" t="s">
        <v>22</v>
      </c>
      <c r="M857" s="2">
        <v>0.35</v>
      </c>
      <c r="N857" s="2">
        <v>0.52</v>
      </c>
      <c r="O857" s="2">
        <v>12372.23</v>
      </c>
      <c r="P857" s="2">
        <v>0</v>
      </c>
      <c r="Q857">
        <f t="shared" si="52"/>
        <v>21888.461538461539</v>
      </c>
      <c r="R857">
        <f t="shared" ca="1" si="53"/>
        <v>35</v>
      </c>
      <c r="S857" s="2">
        <f t="shared" si="54"/>
        <v>990.22999999999956</v>
      </c>
      <c r="T857" s="18">
        <v>0.1</v>
      </c>
      <c r="U857">
        <f t="shared" si="55"/>
        <v>1089.2529999999997</v>
      </c>
    </row>
    <row r="858" spans="1:21" x14ac:dyDescent="0.3">
      <c r="A858" t="s">
        <v>1758</v>
      </c>
      <c r="B858" s="1">
        <v>44616</v>
      </c>
      <c r="C858" t="s">
        <v>1759</v>
      </c>
      <c r="D858" s="3" t="s">
        <v>50</v>
      </c>
      <c r="E858" s="2">
        <v>5437</v>
      </c>
      <c r="F858" s="2">
        <v>10.6</v>
      </c>
      <c r="G858" s="4">
        <v>36</v>
      </c>
      <c r="H858" t="s">
        <v>19</v>
      </c>
      <c r="I858" t="s">
        <v>20</v>
      </c>
      <c r="J858" t="s">
        <v>37</v>
      </c>
      <c r="K858" s="2">
        <v>109534</v>
      </c>
      <c r="L858" t="s">
        <v>29</v>
      </c>
      <c r="M858" s="2">
        <v>0.45</v>
      </c>
      <c r="N858" s="2">
        <v>0.72</v>
      </c>
      <c r="O858" s="2">
        <v>6013.32</v>
      </c>
      <c r="P858" s="2">
        <v>0</v>
      </c>
      <c r="Q858">
        <f t="shared" si="52"/>
        <v>7551.3888888888896</v>
      </c>
      <c r="R858">
        <f t="shared" ca="1" si="53"/>
        <v>48</v>
      </c>
      <c r="S858" s="2">
        <f t="shared" si="54"/>
        <v>576.31999999999971</v>
      </c>
      <c r="T858" s="18">
        <v>0.1</v>
      </c>
      <c r="U858">
        <f t="shared" si="55"/>
        <v>633.95199999999977</v>
      </c>
    </row>
    <row r="859" spans="1:21" x14ac:dyDescent="0.3">
      <c r="A859" t="s">
        <v>1760</v>
      </c>
      <c r="B859" s="1">
        <v>45179</v>
      </c>
      <c r="C859" t="s">
        <v>1761</v>
      </c>
      <c r="D859" s="3" t="s">
        <v>40</v>
      </c>
      <c r="E859" s="2">
        <v>6435</v>
      </c>
      <c r="F859" s="2">
        <v>7.6</v>
      </c>
      <c r="G859" s="4">
        <v>60</v>
      </c>
      <c r="H859" t="s">
        <v>19</v>
      </c>
      <c r="I859" t="s">
        <v>20</v>
      </c>
      <c r="J859" t="s">
        <v>32</v>
      </c>
      <c r="K859" s="2">
        <v>36305</v>
      </c>
      <c r="L859" t="s">
        <v>33</v>
      </c>
      <c r="M859" s="2">
        <v>0.15</v>
      </c>
      <c r="N859" s="2">
        <v>0.51</v>
      </c>
      <c r="O859" s="2">
        <v>6924.06</v>
      </c>
      <c r="P859" s="2">
        <v>0</v>
      </c>
      <c r="Q859">
        <f t="shared" si="52"/>
        <v>12617.64705882353</v>
      </c>
      <c r="R859">
        <f t="shared" ca="1" si="53"/>
        <v>30</v>
      </c>
      <c r="S859" s="2">
        <f t="shared" si="54"/>
        <v>489.0600000000004</v>
      </c>
      <c r="T859" s="18">
        <v>0.1</v>
      </c>
      <c r="U859">
        <f t="shared" si="55"/>
        <v>537.96600000000046</v>
      </c>
    </row>
    <row r="860" spans="1:21" x14ac:dyDescent="0.3">
      <c r="A860" t="s">
        <v>1762</v>
      </c>
      <c r="B860" s="1">
        <v>45021</v>
      </c>
      <c r="C860" t="s">
        <v>1763</v>
      </c>
      <c r="D860" s="3" t="s">
        <v>72</v>
      </c>
      <c r="E860" s="2">
        <v>25819</v>
      </c>
      <c r="F860" s="2">
        <v>18.5</v>
      </c>
      <c r="G860" s="4">
        <v>36</v>
      </c>
      <c r="H860" t="s">
        <v>19</v>
      </c>
      <c r="I860" t="s">
        <v>20</v>
      </c>
      <c r="J860" t="s">
        <v>47</v>
      </c>
      <c r="K860" s="2">
        <v>128262</v>
      </c>
      <c r="L860" t="s">
        <v>22</v>
      </c>
      <c r="M860" s="2">
        <v>0.49</v>
      </c>
      <c r="N860" s="2">
        <v>0.91</v>
      </c>
      <c r="O860" s="2">
        <v>30595.52</v>
      </c>
      <c r="P860" s="2">
        <v>0</v>
      </c>
      <c r="Q860">
        <f t="shared" si="52"/>
        <v>28372.527472527472</v>
      </c>
      <c r="R860">
        <f t="shared" ca="1" si="53"/>
        <v>35</v>
      </c>
      <c r="S860" s="2">
        <f t="shared" si="54"/>
        <v>4776.5200000000004</v>
      </c>
      <c r="T860" s="18">
        <v>0.1</v>
      </c>
      <c r="U860">
        <f t="shared" si="55"/>
        <v>5254.1720000000005</v>
      </c>
    </row>
    <row r="861" spans="1:21" x14ac:dyDescent="0.3">
      <c r="A861" t="s">
        <v>1764</v>
      </c>
      <c r="B861" s="1">
        <v>45221</v>
      </c>
      <c r="C861" t="s">
        <v>1765</v>
      </c>
      <c r="D861" s="3" t="s">
        <v>72</v>
      </c>
      <c r="E861" s="2">
        <v>37875</v>
      </c>
      <c r="F861" s="2">
        <v>23.9</v>
      </c>
      <c r="G861" s="4">
        <v>36</v>
      </c>
      <c r="H861" t="s">
        <v>26</v>
      </c>
      <c r="I861" t="s">
        <v>36</v>
      </c>
      <c r="J861" t="s">
        <v>32</v>
      </c>
      <c r="K861" s="2">
        <v>48782</v>
      </c>
      <c r="L861" t="s">
        <v>33</v>
      </c>
      <c r="M861" s="2">
        <v>0.33</v>
      </c>
      <c r="N861" s="2">
        <v>0.94</v>
      </c>
      <c r="O861" s="2">
        <v>9719.5400000000009</v>
      </c>
      <c r="P861" s="2">
        <v>0</v>
      </c>
      <c r="Q861">
        <f t="shared" si="52"/>
        <v>40292.553191489365</v>
      </c>
      <c r="R861">
        <f t="shared" ca="1" si="53"/>
        <v>28</v>
      </c>
      <c r="S861" s="2">
        <f t="shared" si="54"/>
        <v>-28155.46</v>
      </c>
      <c r="T861" s="18">
        <v>0.1</v>
      </c>
      <c r="U861">
        <f t="shared" si="55"/>
        <v>-30971.006000000001</v>
      </c>
    </row>
    <row r="862" spans="1:21" x14ac:dyDescent="0.3">
      <c r="A862" t="s">
        <v>1766</v>
      </c>
      <c r="B862" s="1">
        <v>44763</v>
      </c>
      <c r="C862" t="s">
        <v>1767</v>
      </c>
      <c r="D862" s="3" t="s">
        <v>50</v>
      </c>
      <c r="E862" s="2">
        <v>32982</v>
      </c>
      <c r="F862" s="2">
        <v>10.4</v>
      </c>
      <c r="G862" s="4">
        <v>36</v>
      </c>
      <c r="H862" t="s">
        <v>26</v>
      </c>
      <c r="I862" t="s">
        <v>27</v>
      </c>
      <c r="J862" t="s">
        <v>37</v>
      </c>
      <c r="K862" s="2">
        <v>108257</v>
      </c>
      <c r="L862" t="s">
        <v>29</v>
      </c>
      <c r="M862" s="2">
        <v>0.5</v>
      </c>
      <c r="N862" s="2">
        <v>0.6</v>
      </c>
      <c r="O862" s="2">
        <v>5386.12</v>
      </c>
      <c r="P862" s="2">
        <v>0</v>
      </c>
      <c r="Q862">
        <f t="shared" si="52"/>
        <v>54970</v>
      </c>
      <c r="R862">
        <f t="shared" ca="1" si="53"/>
        <v>43</v>
      </c>
      <c r="S862" s="2">
        <f t="shared" si="54"/>
        <v>-27595.88</v>
      </c>
      <c r="T862" s="18">
        <v>0.1</v>
      </c>
      <c r="U862">
        <f t="shared" si="55"/>
        <v>-30355.468000000004</v>
      </c>
    </row>
    <row r="863" spans="1:21" x14ac:dyDescent="0.3">
      <c r="A863" t="s">
        <v>1768</v>
      </c>
      <c r="B863" s="1">
        <v>44567</v>
      </c>
      <c r="C863" t="s">
        <v>1769</v>
      </c>
      <c r="D863" s="3" t="s">
        <v>18</v>
      </c>
      <c r="E863" s="2">
        <v>34328</v>
      </c>
      <c r="F863" s="2">
        <v>14.5</v>
      </c>
      <c r="G863" s="4">
        <v>36</v>
      </c>
      <c r="H863" t="s">
        <v>81</v>
      </c>
      <c r="I863" t="s">
        <v>27</v>
      </c>
      <c r="J863" t="s">
        <v>32</v>
      </c>
      <c r="K863" s="2">
        <v>135299</v>
      </c>
      <c r="L863" t="s">
        <v>33</v>
      </c>
      <c r="M863" s="2">
        <v>0.46</v>
      </c>
      <c r="N863" s="2">
        <v>0.59</v>
      </c>
      <c r="O863" s="2">
        <v>7246.51</v>
      </c>
      <c r="P863" s="2">
        <v>14471.77</v>
      </c>
      <c r="Q863">
        <f t="shared" si="52"/>
        <v>58183.050847457627</v>
      </c>
      <c r="R863">
        <f t="shared" ca="1" si="53"/>
        <v>50</v>
      </c>
      <c r="S863" s="2">
        <f t="shared" si="54"/>
        <v>-12609.720000000001</v>
      </c>
      <c r="T863" s="18">
        <v>0.1</v>
      </c>
      <c r="U863">
        <f t="shared" si="55"/>
        <v>-13870.692000000003</v>
      </c>
    </row>
    <row r="864" spans="1:21" x14ac:dyDescent="0.3">
      <c r="A864" t="s">
        <v>1770</v>
      </c>
      <c r="B864" s="1">
        <v>45132</v>
      </c>
      <c r="C864" t="s">
        <v>1771</v>
      </c>
      <c r="D864" s="3" t="s">
        <v>40</v>
      </c>
      <c r="E864" s="2">
        <v>13329</v>
      </c>
      <c r="F864" s="2">
        <v>17.7</v>
      </c>
      <c r="G864" s="4">
        <v>36</v>
      </c>
      <c r="H864" t="s">
        <v>19</v>
      </c>
      <c r="I864" t="s">
        <v>73</v>
      </c>
      <c r="J864" t="s">
        <v>21</v>
      </c>
      <c r="K864" s="2">
        <v>107963</v>
      </c>
      <c r="L864" t="s">
        <v>29</v>
      </c>
      <c r="M864" s="2">
        <v>0.19</v>
      </c>
      <c r="N864" s="2">
        <v>0.84</v>
      </c>
      <c r="O864" s="2">
        <v>15688.23</v>
      </c>
      <c r="P864" s="2">
        <v>0</v>
      </c>
      <c r="Q864">
        <f t="shared" si="52"/>
        <v>15867.857142857143</v>
      </c>
      <c r="R864">
        <f t="shared" ca="1" si="53"/>
        <v>31</v>
      </c>
      <c r="S864" s="2">
        <f t="shared" si="54"/>
        <v>2359.2299999999996</v>
      </c>
      <c r="T864" s="18">
        <v>0.1</v>
      </c>
      <c r="U864">
        <f t="shared" si="55"/>
        <v>2595.1529999999998</v>
      </c>
    </row>
    <row r="865" spans="1:21" x14ac:dyDescent="0.3">
      <c r="A865" t="s">
        <v>1772</v>
      </c>
      <c r="B865" s="1">
        <v>44857</v>
      </c>
      <c r="C865" t="s">
        <v>1773</v>
      </c>
      <c r="D865" s="3" t="s">
        <v>46</v>
      </c>
      <c r="E865" s="2">
        <v>26169</v>
      </c>
      <c r="F865" s="2">
        <v>25</v>
      </c>
      <c r="G865" s="4">
        <v>36</v>
      </c>
      <c r="H865" t="s">
        <v>19</v>
      </c>
      <c r="I865" t="s">
        <v>84</v>
      </c>
      <c r="J865" t="s">
        <v>28</v>
      </c>
      <c r="K865" s="2">
        <v>142086</v>
      </c>
      <c r="L865" t="s">
        <v>29</v>
      </c>
      <c r="M865" s="2">
        <v>0.12</v>
      </c>
      <c r="N865" s="2">
        <v>0.61</v>
      </c>
      <c r="O865" s="2">
        <v>32711.25</v>
      </c>
      <c r="P865" s="2">
        <v>0</v>
      </c>
      <c r="Q865">
        <f t="shared" si="52"/>
        <v>42900</v>
      </c>
      <c r="R865">
        <f t="shared" ca="1" si="53"/>
        <v>40</v>
      </c>
      <c r="S865" s="2">
        <f t="shared" si="54"/>
        <v>6542.25</v>
      </c>
      <c r="T865" s="18">
        <v>0.1</v>
      </c>
      <c r="U865">
        <f t="shared" si="55"/>
        <v>7196.4750000000004</v>
      </c>
    </row>
    <row r="866" spans="1:21" x14ac:dyDescent="0.3">
      <c r="A866" t="s">
        <v>1774</v>
      </c>
      <c r="B866" s="1">
        <v>45165</v>
      </c>
      <c r="C866" t="s">
        <v>1775</v>
      </c>
      <c r="D866" s="3" t="s">
        <v>56</v>
      </c>
      <c r="E866" s="2">
        <v>22932</v>
      </c>
      <c r="F866" s="2">
        <v>7.1</v>
      </c>
      <c r="G866" s="4">
        <v>60</v>
      </c>
      <c r="H866" t="s">
        <v>19</v>
      </c>
      <c r="I866" t="s">
        <v>20</v>
      </c>
      <c r="J866" t="s">
        <v>32</v>
      </c>
      <c r="K866" s="2">
        <v>50566</v>
      </c>
      <c r="L866" t="s">
        <v>29</v>
      </c>
      <c r="M866" s="2">
        <v>0.2</v>
      </c>
      <c r="N866" s="2">
        <v>0.9</v>
      </c>
      <c r="O866" s="2">
        <v>24560.17</v>
      </c>
      <c r="P866" s="2">
        <v>0</v>
      </c>
      <c r="Q866">
        <f t="shared" si="52"/>
        <v>25480</v>
      </c>
      <c r="R866">
        <f t="shared" ca="1" si="53"/>
        <v>30</v>
      </c>
      <c r="S866" s="2">
        <f t="shared" si="54"/>
        <v>1628.1699999999983</v>
      </c>
      <c r="T866" s="18">
        <v>0.1</v>
      </c>
      <c r="U866">
        <f t="shared" si="55"/>
        <v>1790.9869999999983</v>
      </c>
    </row>
    <row r="867" spans="1:21" x14ac:dyDescent="0.3">
      <c r="A867" t="s">
        <v>1776</v>
      </c>
      <c r="B867" s="1">
        <v>44398</v>
      </c>
      <c r="C867" t="s">
        <v>1777</v>
      </c>
      <c r="D867" s="3" t="s">
        <v>18</v>
      </c>
      <c r="E867" s="2">
        <v>35594</v>
      </c>
      <c r="F867" s="2">
        <v>15</v>
      </c>
      <c r="G867" s="4">
        <v>60</v>
      </c>
      <c r="H867" t="s">
        <v>19</v>
      </c>
      <c r="I867" t="s">
        <v>57</v>
      </c>
      <c r="J867" t="s">
        <v>28</v>
      </c>
      <c r="K867" s="2">
        <v>97766</v>
      </c>
      <c r="L867" t="s">
        <v>33</v>
      </c>
      <c r="M867" s="2">
        <v>0.31</v>
      </c>
      <c r="N867" s="2">
        <v>0.76</v>
      </c>
      <c r="O867" s="2">
        <v>40933.1</v>
      </c>
      <c r="P867" s="2">
        <v>0</v>
      </c>
      <c r="Q867">
        <f t="shared" si="52"/>
        <v>46834.210526315786</v>
      </c>
      <c r="R867">
        <f t="shared" ca="1" si="53"/>
        <v>55</v>
      </c>
      <c r="S867" s="2">
        <f t="shared" si="54"/>
        <v>5339.0999999999985</v>
      </c>
      <c r="T867" s="18">
        <v>0.1</v>
      </c>
      <c r="U867">
        <f t="shared" si="55"/>
        <v>5873.0099999999993</v>
      </c>
    </row>
    <row r="868" spans="1:21" x14ac:dyDescent="0.3">
      <c r="A868" t="s">
        <v>1778</v>
      </c>
      <c r="B868" s="1">
        <v>44509</v>
      </c>
      <c r="C868" t="s">
        <v>1779</v>
      </c>
      <c r="D868" s="3" t="s">
        <v>53</v>
      </c>
      <c r="E868" s="2">
        <v>12421</v>
      </c>
      <c r="F868" s="2">
        <v>12.7</v>
      </c>
      <c r="G868" s="4">
        <v>60</v>
      </c>
      <c r="H868" t="s">
        <v>19</v>
      </c>
      <c r="I868" t="s">
        <v>73</v>
      </c>
      <c r="J868" t="s">
        <v>37</v>
      </c>
      <c r="K868" s="2">
        <v>36511</v>
      </c>
      <c r="L868" t="s">
        <v>33</v>
      </c>
      <c r="M868" s="2">
        <v>0.17</v>
      </c>
      <c r="N868" s="2">
        <v>0.66</v>
      </c>
      <c r="O868" s="2">
        <v>13998.47</v>
      </c>
      <c r="P868" s="2">
        <v>0</v>
      </c>
      <c r="Q868">
        <f t="shared" si="52"/>
        <v>18819.696969696968</v>
      </c>
      <c r="R868">
        <f t="shared" ca="1" si="53"/>
        <v>52</v>
      </c>
      <c r="S868" s="2">
        <f t="shared" si="54"/>
        <v>1577.4699999999993</v>
      </c>
      <c r="T868" s="18">
        <v>0.1</v>
      </c>
      <c r="U868">
        <f t="shared" si="55"/>
        <v>1735.2169999999994</v>
      </c>
    </row>
    <row r="869" spans="1:21" x14ac:dyDescent="0.3">
      <c r="A869" t="s">
        <v>1780</v>
      </c>
      <c r="B869" s="1">
        <v>44313</v>
      </c>
      <c r="C869" t="s">
        <v>1781</v>
      </c>
      <c r="D869" s="3" t="s">
        <v>65</v>
      </c>
      <c r="E869" s="2">
        <v>8629</v>
      </c>
      <c r="F869" s="2">
        <v>22.3</v>
      </c>
      <c r="G869" s="4">
        <v>36</v>
      </c>
      <c r="H869" t="s">
        <v>26</v>
      </c>
      <c r="I869" t="s">
        <v>20</v>
      </c>
      <c r="J869" t="s">
        <v>28</v>
      </c>
      <c r="K869" s="2">
        <v>144816</v>
      </c>
      <c r="L869" t="s">
        <v>22</v>
      </c>
      <c r="M869" s="2">
        <v>0.17</v>
      </c>
      <c r="N869" s="2">
        <v>0.87</v>
      </c>
      <c r="O869" s="2">
        <v>510.03</v>
      </c>
      <c r="P869" s="2">
        <v>0</v>
      </c>
      <c r="Q869">
        <f t="shared" si="52"/>
        <v>9918.3908045977005</v>
      </c>
      <c r="R869">
        <f t="shared" ca="1" si="53"/>
        <v>58</v>
      </c>
      <c r="S869" s="2">
        <f t="shared" si="54"/>
        <v>-8118.97</v>
      </c>
      <c r="T869" s="18">
        <v>0.1</v>
      </c>
      <c r="U869">
        <f t="shared" si="55"/>
        <v>-8930.8670000000002</v>
      </c>
    </row>
    <row r="870" spans="1:21" x14ac:dyDescent="0.3">
      <c r="A870" t="s">
        <v>1782</v>
      </c>
      <c r="B870" s="1">
        <v>45133</v>
      </c>
      <c r="C870" t="s">
        <v>1783</v>
      </c>
      <c r="D870" s="3" t="s">
        <v>76</v>
      </c>
      <c r="E870" s="2">
        <v>9325</v>
      </c>
      <c r="F870" s="2">
        <v>14.5</v>
      </c>
      <c r="G870" s="4">
        <v>60</v>
      </c>
      <c r="H870" t="s">
        <v>19</v>
      </c>
      <c r="I870" t="s">
        <v>57</v>
      </c>
      <c r="J870" t="s">
        <v>32</v>
      </c>
      <c r="K870" s="2">
        <v>137765</v>
      </c>
      <c r="L870" t="s">
        <v>22</v>
      </c>
      <c r="M870" s="2">
        <v>0.28999999999999998</v>
      </c>
      <c r="N870" s="2">
        <v>0.72</v>
      </c>
      <c r="O870" s="2">
        <v>10677.12</v>
      </c>
      <c r="P870" s="2">
        <v>0</v>
      </c>
      <c r="Q870">
        <f t="shared" si="52"/>
        <v>12951.388888888889</v>
      </c>
      <c r="R870">
        <f t="shared" ca="1" si="53"/>
        <v>31</v>
      </c>
      <c r="S870" s="2">
        <f t="shared" si="54"/>
        <v>1352.1200000000008</v>
      </c>
      <c r="T870" s="18">
        <v>0.1</v>
      </c>
      <c r="U870">
        <f t="shared" si="55"/>
        <v>1487.332000000001</v>
      </c>
    </row>
    <row r="871" spans="1:21" x14ac:dyDescent="0.3">
      <c r="A871" t="s">
        <v>1784</v>
      </c>
      <c r="B871" s="1">
        <v>44771</v>
      </c>
      <c r="C871" t="s">
        <v>1785</v>
      </c>
      <c r="D871" s="3" t="s">
        <v>18</v>
      </c>
      <c r="E871" s="2">
        <v>29495</v>
      </c>
      <c r="F871" s="2">
        <v>7.2</v>
      </c>
      <c r="G871" s="4">
        <v>36</v>
      </c>
      <c r="H871" t="s">
        <v>26</v>
      </c>
      <c r="I871" t="s">
        <v>57</v>
      </c>
      <c r="J871" t="s">
        <v>32</v>
      </c>
      <c r="K871" s="2">
        <v>148360</v>
      </c>
      <c r="L871" t="s">
        <v>33</v>
      </c>
      <c r="M871" s="2">
        <v>0.11</v>
      </c>
      <c r="N871" s="2">
        <v>0.91</v>
      </c>
      <c r="O871" s="2">
        <v>8429.58</v>
      </c>
      <c r="P871" s="2">
        <v>0</v>
      </c>
      <c r="Q871">
        <f t="shared" si="52"/>
        <v>32412.087912087911</v>
      </c>
      <c r="R871">
        <f t="shared" ca="1" si="53"/>
        <v>43</v>
      </c>
      <c r="S871" s="2">
        <f t="shared" si="54"/>
        <v>-21065.42</v>
      </c>
      <c r="T871" s="18">
        <v>0.1</v>
      </c>
      <c r="U871">
        <f t="shared" si="55"/>
        <v>-23171.962</v>
      </c>
    </row>
    <row r="872" spans="1:21" x14ac:dyDescent="0.3">
      <c r="A872" t="s">
        <v>1786</v>
      </c>
      <c r="B872" s="1">
        <v>44440</v>
      </c>
      <c r="C872" t="s">
        <v>1787</v>
      </c>
      <c r="D872" s="3" t="s">
        <v>76</v>
      </c>
      <c r="E872" s="2">
        <v>32750</v>
      </c>
      <c r="F872" s="2">
        <v>17.7</v>
      </c>
      <c r="G872" s="4">
        <v>36</v>
      </c>
      <c r="H872" t="s">
        <v>19</v>
      </c>
      <c r="I872" t="s">
        <v>20</v>
      </c>
      <c r="J872" t="s">
        <v>47</v>
      </c>
      <c r="K872" s="2">
        <v>56177</v>
      </c>
      <c r="L872" t="s">
        <v>33</v>
      </c>
      <c r="M872" s="2">
        <v>0.15</v>
      </c>
      <c r="N872" s="2">
        <v>0.92</v>
      </c>
      <c r="O872" s="2">
        <v>38546.75</v>
      </c>
      <c r="P872" s="2">
        <v>0</v>
      </c>
      <c r="Q872">
        <f t="shared" si="52"/>
        <v>35597.82608695652</v>
      </c>
      <c r="R872">
        <f t="shared" ca="1" si="53"/>
        <v>54</v>
      </c>
      <c r="S872" s="2">
        <f t="shared" si="54"/>
        <v>5796.75</v>
      </c>
      <c r="T872" s="18">
        <v>0.1</v>
      </c>
      <c r="U872">
        <f t="shared" si="55"/>
        <v>6376.4250000000002</v>
      </c>
    </row>
    <row r="873" spans="1:21" x14ac:dyDescent="0.3">
      <c r="A873" t="s">
        <v>1788</v>
      </c>
      <c r="B873" s="1">
        <v>44733</v>
      </c>
      <c r="C873" t="s">
        <v>1789</v>
      </c>
      <c r="D873" s="3" t="s">
        <v>18</v>
      </c>
      <c r="E873" s="2">
        <v>30619</v>
      </c>
      <c r="F873" s="2">
        <v>20.399999999999999</v>
      </c>
      <c r="G873" s="4">
        <v>36</v>
      </c>
      <c r="H873" t="s">
        <v>81</v>
      </c>
      <c r="I873" t="s">
        <v>20</v>
      </c>
      <c r="J873" t="s">
        <v>32</v>
      </c>
      <c r="K873" s="2">
        <v>34765</v>
      </c>
      <c r="L873" t="s">
        <v>33</v>
      </c>
      <c r="M873" s="2">
        <v>0.27</v>
      </c>
      <c r="N873" s="2">
        <v>0.56999999999999995</v>
      </c>
      <c r="O873" s="2">
        <v>7701.21</v>
      </c>
      <c r="P873" s="2">
        <v>8440.1</v>
      </c>
      <c r="Q873">
        <f t="shared" si="52"/>
        <v>53717.543859649129</v>
      </c>
      <c r="R873">
        <f t="shared" ca="1" si="53"/>
        <v>44</v>
      </c>
      <c r="S873" s="2">
        <f t="shared" si="54"/>
        <v>-14477.689999999999</v>
      </c>
      <c r="T873" s="18">
        <v>0.1</v>
      </c>
      <c r="U873">
        <f t="shared" si="55"/>
        <v>-15925.459000000001</v>
      </c>
    </row>
    <row r="874" spans="1:21" x14ac:dyDescent="0.3">
      <c r="A874" t="s">
        <v>1790</v>
      </c>
      <c r="B874" s="1">
        <v>44271</v>
      </c>
      <c r="C874" t="s">
        <v>1791</v>
      </c>
      <c r="D874" s="3" t="s">
        <v>50</v>
      </c>
      <c r="E874" s="2">
        <v>9264</v>
      </c>
      <c r="F874" s="2">
        <v>5.0999999999999996</v>
      </c>
      <c r="G874" s="4">
        <v>36</v>
      </c>
      <c r="H874" t="s">
        <v>26</v>
      </c>
      <c r="I874" t="s">
        <v>27</v>
      </c>
      <c r="J874" t="s">
        <v>28</v>
      </c>
      <c r="K874" s="2">
        <v>50354</v>
      </c>
      <c r="L874" t="s">
        <v>33</v>
      </c>
      <c r="M874" s="2">
        <v>0.13</v>
      </c>
      <c r="N874" s="2">
        <v>0.5</v>
      </c>
      <c r="O874" s="2">
        <v>2652.86</v>
      </c>
      <c r="P874" s="2">
        <v>0</v>
      </c>
      <c r="Q874">
        <f t="shared" si="52"/>
        <v>18528</v>
      </c>
      <c r="R874">
        <f t="shared" ca="1" si="53"/>
        <v>60</v>
      </c>
      <c r="S874" s="2">
        <f t="shared" si="54"/>
        <v>-6611.1399999999994</v>
      </c>
      <c r="T874" s="18">
        <v>0.1</v>
      </c>
      <c r="U874">
        <f t="shared" si="55"/>
        <v>-7272.2539999999999</v>
      </c>
    </row>
    <row r="875" spans="1:21" x14ac:dyDescent="0.3">
      <c r="A875" t="s">
        <v>1792</v>
      </c>
      <c r="B875" s="1">
        <v>44582</v>
      </c>
      <c r="C875" t="s">
        <v>1793</v>
      </c>
      <c r="D875" s="3" t="s">
        <v>76</v>
      </c>
      <c r="E875" s="2">
        <v>13686</v>
      </c>
      <c r="F875" s="2">
        <v>22.2</v>
      </c>
      <c r="G875" s="4">
        <v>60</v>
      </c>
      <c r="H875" t="s">
        <v>60</v>
      </c>
      <c r="I875" t="s">
        <v>20</v>
      </c>
      <c r="J875" t="s">
        <v>47</v>
      </c>
      <c r="K875" s="2">
        <v>53929</v>
      </c>
      <c r="L875" t="s">
        <v>29</v>
      </c>
      <c r="M875" s="2">
        <v>0.26</v>
      </c>
      <c r="N875" s="2">
        <v>0.94</v>
      </c>
      <c r="O875" s="2">
        <v>0</v>
      </c>
      <c r="P875" s="2">
        <v>0</v>
      </c>
      <c r="Q875">
        <f t="shared" si="52"/>
        <v>14559.574468085108</v>
      </c>
      <c r="R875">
        <f t="shared" ca="1" si="53"/>
        <v>49</v>
      </c>
      <c r="S875" s="2">
        <f t="shared" si="54"/>
        <v>-13686</v>
      </c>
      <c r="T875" s="18">
        <v>0.1</v>
      </c>
      <c r="U875">
        <f t="shared" si="55"/>
        <v>-15054.6</v>
      </c>
    </row>
    <row r="876" spans="1:21" x14ac:dyDescent="0.3">
      <c r="A876" t="s">
        <v>1794</v>
      </c>
      <c r="B876" s="1">
        <v>44671</v>
      </c>
      <c r="C876" t="s">
        <v>1795</v>
      </c>
      <c r="D876" s="3" t="s">
        <v>18</v>
      </c>
      <c r="E876" s="2">
        <v>25226</v>
      </c>
      <c r="F876" s="2">
        <v>8.6999999999999993</v>
      </c>
      <c r="G876" s="4">
        <v>36</v>
      </c>
      <c r="H876" t="s">
        <v>81</v>
      </c>
      <c r="I876" t="s">
        <v>36</v>
      </c>
      <c r="J876" t="s">
        <v>32</v>
      </c>
      <c r="K876" s="2">
        <v>58820</v>
      </c>
      <c r="L876" t="s">
        <v>29</v>
      </c>
      <c r="M876" s="2">
        <v>0.28999999999999998</v>
      </c>
      <c r="N876" s="2">
        <v>0.91</v>
      </c>
      <c r="O876" s="2">
        <v>9893.8700000000008</v>
      </c>
      <c r="P876" s="2">
        <v>7297.15</v>
      </c>
      <c r="Q876">
        <f t="shared" si="52"/>
        <v>27720.879120879119</v>
      </c>
      <c r="R876">
        <f t="shared" ca="1" si="53"/>
        <v>46</v>
      </c>
      <c r="S876" s="2">
        <f t="shared" si="54"/>
        <v>-8034.98</v>
      </c>
      <c r="T876" s="18">
        <v>0.1</v>
      </c>
      <c r="U876">
        <f t="shared" si="55"/>
        <v>-8838.478000000001</v>
      </c>
    </row>
    <row r="877" spans="1:21" x14ac:dyDescent="0.3">
      <c r="A877" t="s">
        <v>1796</v>
      </c>
      <c r="B877" s="1">
        <v>44614</v>
      </c>
      <c r="C877" t="s">
        <v>1797</v>
      </c>
      <c r="D877" s="3" t="s">
        <v>72</v>
      </c>
      <c r="E877" s="2">
        <v>7721</v>
      </c>
      <c r="F877" s="2">
        <v>16</v>
      </c>
      <c r="G877" s="4">
        <v>60</v>
      </c>
      <c r="H877" t="s">
        <v>81</v>
      </c>
      <c r="I877" t="s">
        <v>20</v>
      </c>
      <c r="J877" t="s">
        <v>32</v>
      </c>
      <c r="K877" s="2">
        <v>141576</v>
      </c>
      <c r="L877" t="s">
        <v>29</v>
      </c>
      <c r="M877" s="2">
        <v>0.28000000000000003</v>
      </c>
      <c r="N877" s="2">
        <v>0.52</v>
      </c>
      <c r="O877" s="2">
        <v>2883.3</v>
      </c>
      <c r="P877" s="2">
        <v>822.57</v>
      </c>
      <c r="Q877">
        <f t="shared" si="52"/>
        <v>14848.076923076922</v>
      </c>
      <c r="R877">
        <f t="shared" ca="1" si="53"/>
        <v>48</v>
      </c>
      <c r="S877" s="2">
        <f t="shared" si="54"/>
        <v>-4015.1299999999997</v>
      </c>
      <c r="T877" s="18">
        <v>0.1</v>
      </c>
      <c r="U877">
        <f t="shared" si="55"/>
        <v>-4416.643</v>
      </c>
    </row>
    <row r="878" spans="1:21" x14ac:dyDescent="0.3">
      <c r="A878" t="s">
        <v>1798</v>
      </c>
      <c r="B878" s="1">
        <v>44543</v>
      </c>
      <c r="C878" t="s">
        <v>1799</v>
      </c>
      <c r="D878" s="3" t="s">
        <v>76</v>
      </c>
      <c r="E878" s="2">
        <v>21609</v>
      </c>
      <c r="F878" s="2">
        <v>13.3</v>
      </c>
      <c r="G878" s="4">
        <v>36</v>
      </c>
      <c r="H878" t="s">
        <v>81</v>
      </c>
      <c r="I878" t="s">
        <v>84</v>
      </c>
      <c r="J878" t="s">
        <v>37</v>
      </c>
      <c r="K878" s="2">
        <v>59523</v>
      </c>
      <c r="L878" t="s">
        <v>33</v>
      </c>
      <c r="M878" s="2">
        <v>0.45</v>
      </c>
      <c r="N878" s="2">
        <v>0.87</v>
      </c>
      <c r="O878" s="2">
        <v>3209.24</v>
      </c>
      <c r="P878" s="2">
        <v>5044.0600000000004</v>
      </c>
      <c r="Q878">
        <f t="shared" si="52"/>
        <v>24837.931034482757</v>
      </c>
      <c r="R878">
        <f t="shared" ca="1" si="53"/>
        <v>51</v>
      </c>
      <c r="S878" s="2">
        <f t="shared" si="54"/>
        <v>-13355.7</v>
      </c>
      <c r="T878" s="18">
        <v>0.1</v>
      </c>
      <c r="U878">
        <f t="shared" si="55"/>
        <v>-14691.270000000002</v>
      </c>
    </row>
    <row r="879" spans="1:21" x14ac:dyDescent="0.3">
      <c r="A879" t="s">
        <v>1800</v>
      </c>
      <c r="B879" s="1">
        <v>44836</v>
      </c>
      <c r="C879" t="s">
        <v>1801</v>
      </c>
      <c r="D879" s="3" t="s">
        <v>18</v>
      </c>
      <c r="E879" s="2">
        <v>8373</v>
      </c>
      <c r="F879" s="2">
        <v>19.399999999999999</v>
      </c>
      <c r="G879" s="4">
        <v>60</v>
      </c>
      <c r="H879" t="s">
        <v>26</v>
      </c>
      <c r="I879" t="s">
        <v>36</v>
      </c>
      <c r="J879" t="s">
        <v>47</v>
      </c>
      <c r="K879" s="2">
        <v>101088</v>
      </c>
      <c r="L879" t="s">
        <v>29</v>
      </c>
      <c r="M879" s="2">
        <v>0.31</v>
      </c>
      <c r="N879" s="2">
        <v>0.71</v>
      </c>
      <c r="O879" s="2">
        <v>1808.54</v>
      </c>
      <c r="P879" s="2">
        <v>0</v>
      </c>
      <c r="Q879">
        <f t="shared" si="52"/>
        <v>11792.957746478874</v>
      </c>
      <c r="R879">
        <f t="shared" ca="1" si="53"/>
        <v>41</v>
      </c>
      <c r="S879" s="2">
        <f t="shared" si="54"/>
        <v>-6564.46</v>
      </c>
      <c r="T879" s="18">
        <v>0.1</v>
      </c>
      <c r="U879">
        <f t="shared" si="55"/>
        <v>-7220.9060000000009</v>
      </c>
    </row>
    <row r="880" spans="1:21" x14ac:dyDescent="0.3">
      <c r="A880" t="s">
        <v>1802</v>
      </c>
      <c r="B880" s="1">
        <v>45135</v>
      </c>
      <c r="C880" t="s">
        <v>1803</v>
      </c>
      <c r="D880" s="3" t="s">
        <v>56</v>
      </c>
      <c r="E880" s="2">
        <v>39675</v>
      </c>
      <c r="F880" s="2">
        <v>12.4</v>
      </c>
      <c r="G880" s="4">
        <v>60</v>
      </c>
      <c r="H880" t="s">
        <v>19</v>
      </c>
      <c r="I880" t="s">
        <v>36</v>
      </c>
      <c r="J880" t="s">
        <v>37</v>
      </c>
      <c r="K880" s="2">
        <v>96163</v>
      </c>
      <c r="L880" t="s">
        <v>29</v>
      </c>
      <c r="M880" s="2">
        <v>0.28999999999999998</v>
      </c>
      <c r="N880" s="2">
        <v>0.62</v>
      </c>
      <c r="O880" s="2">
        <v>44594.7</v>
      </c>
      <c r="P880" s="2">
        <v>0</v>
      </c>
      <c r="Q880">
        <f t="shared" si="52"/>
        <v>63991.93548387097</v>
      </c>
      <c r="R880">
        <f t="shared" ca="1" si="53"/>
        <v>31</v>
      </c>
      <c r="S880" s="2">
        <f t="shared" si="54"/>
        <v>4919.6999999999971</v>
      </c>
      <c r="T880" s="18">
        <v>0.1</v>
      </c>
      <c r="U880">
        <f t="shared" si="55"/>
        <v>5411.6699999999973</v>
      </c>
    </row>
    <row r="881" spans="1:21" x14ac:dyDescent="0.3">
      <c r="A881" t="s">
        <v>1804</v>
      </c>
      <c r="B881" s="1">
        <v>45151</v>
      </c>
      <c r="C881" t="s">
        <v>1805</v>
      </c>
      <c r="D881" s="3" t="s">
        <v>65</v>
      </c>
      <c r="E881" s="2">
        <v>29937</v>
      </c>
      <c r="F881" s="2">
        <v>22.4</v>
      </c>
      <c r="G881" s="4">
        <v>60</v>
      </c>
      <c r="H881" t="s">
        <v>19</v>
      </c>
      <c r="I881" t="s">
        <v>84</v>
      </c>
      <c r="J881" t="s">
        <v>37</v>
      </c>
      <c r="K881" s="2">
        <v>107525</v>
      </c>
      <c r="L881" t="s">
        <v>22</v>
      </c>
      <c r="M881" s="2">
        <v>0.26</v>
      </c>
      <c r="N881" s="2">
        <v>0.9</v>
      </c>
      <c r="O881" s="2">
        <v>36642.89</v>
      </c>
      <c r="P881" s="2">
        <v>0</v>
      </c>
      <c r="Q881">
        <f t="shared" si="52"/>
        <v>33263.333333333336</v>
      </c>
      <c r="R881">
        <f t="shared" ca="1" si="53"/>
        <v>31</v>
      </c>
      <c r="S881" s="2">
        <f t="shared" si="54"/>
        <v>6705.8899999999994</v>
      </c>
      <c r="T881" s="18">
        <v>0.1</v>
      </c>
      <c r="U881">
        <f t="shared" si="55"/>
        <v>7376.4790000000003</v>
      </c>
    </row>
    <row r="882" spans="1:21" x14ac:dyDescent="0.3">
      <c r="A882" t="s">
        <v>1806</v>
      </c>
      <c r="B882" s="1">
        <v>45072</v>
      </c>
      <c r="C882" t="s">
        <v>1807</v>
      </c>
      <c r="D882" s="3" t="s">
        <v>56</v>
      </c>
      <c r="E882" s="2">
        <v>6656</v>
      </c>
      <c r="F882" s="2">
        <v>19.600000000000001</v>
      </c>
      <c r="G882" s="4">
        <v>60</v>
      </c>
      <c r="H882" t="s">
        <v>19</v>
      </c>
      <c r="I882" t="s">
        <v>57</v>
      </c>
      <c r="J882" t="s">
        <v>37</v>
      </c>
      <c r="K882" s="2">
        <v>43780</v>
      </c>
      <c r="L882" t="s">
        <v>22</v>
      </c>
      <c r="M882" s="2">
        <v>0.43</v>
      </c>
      <c r="N882" s="2">
        <v>0.59</v>
      </c>
      <c r="O882" s="2">
        <v>7960.58</v>
      </c>
      <c r="P882" s="2">
        <v>0</v>
      </c>
      <c r="Q882">
        <f t="shared" si="52"/>
        <v>11281.355932203391</v>
      </c>
      <c r="R882">
        <f t="shared" ca="1" si="53"/>
        <v>33</v>
      </c>
      <c r="S882" s="2">
        <f t="shared" si="54"/>
        <v>1304.58</v>
      </c>
      <c r="T882" s="18">
        <v>0.1</v>
      </c>
      <c r="U882">
        <f t="shared" si="55"/>
        <v>1435.038</v>
      </c>
    </row>
    <row r="883" spans="1:21" x14ac:dyDescent="0.3">
      <c r="A883" t="s">
        <v>1808</v>
      </c>
      <c r="B883" s="1">
        <v>44959</v>
      </c>
      <c r="C883" t="s">
        <v>1809</v>
      </c>
      <c r="D883" s="3" t="s">
        <v>40</v>
      </c>
      <c r="E883" s="2">
        <v>9984</v>
      </c>
      <c r="F883" s="2">
        <v>18</v>
      </c>
      <c r="G883" s="4">
        <v>60</v>
      </c>
      <c r="H883" t="s">
        <v>26</v>
      </c>
      <c r="I883" t="s">
        <v>57</v>
      </c>
      <c r="J883" t="s">
        <v>21</v>
      </c>
      <c r="K883" s="2">
        <v>36589</v>
      </c>
      <c r="L883" t="s">
        <v>29</v>
      </c>
      <c r="M883" s="2">
        <v>0.46</v>
      </c>
      <c r="N883" s="2">
        <v>0.93</v>
      </c>
      <c r="O883" s="2">
        <v>2403.9499999999998</v>
      </c>
      <c r="P883" s="2">
        <v>0</v>
      </c>
      <c r="Q883">
        <f t="shared" si="52"/>
        <v>10735.483870967741</v>
      </c>
      <c r="R883">
        <f t="shared" ca="1" si="53"/>
        <v>37</v>
      </c>
      <c r="S883" s="2">
        <f t="shared" si="54"/>
        <v>-7580.05</v>
      </c>
      <c r="T883" s="18">
        <v>0.1</v>
      </c>
      <c r="U883">
        <f t="shared" si="55"/>
        <v>-8338.0550000000003</v>
      </c>
    </row>
    <row r="884" spans="1:21" x14ac:dyDescent="0.3">
      <c r="A884" t="s">
        <v>1810</v>
      </c>
      <c r="B884" s="1">
        <v>44860</v>
      </c>
      <c r="C884" t="s">
        <v>1811</v>
      </c>
      <c r="D884" s="3" t="s">
        <v>18</v>
      </c>
      <c r="E884" s="2">
        <v>30984</v>
      </c>
      <c r="F884" s="2">
        <v>20.9</v>
      </c>
      <c r="G884" s="4">
        <v>60</v>
      </c>
      <c r="H884" t="s">
        <v>19</v>
      </c>
      <c r="I884" t="s">
        <v>57</v>
      </c>
      <c r="J884" t="s">
        <v>37</v>
      </c>
      <c r="K884" s="2">
        <v>64812</v>
      </c>
      <c r="L884" t="s">
        <v>29</v>
      </c>
      <c r="M884" s="2">
        <v>0.44</v>
      </c>
      <c r="N884" s="2">
        <v>0.59</v>
      </c>
      <c r="O884" s="2">
        <v>37459.660000000003</v>
      </c>
      <c r="P884" s="2">
        <v>0</v>
      </c>
      <c r="Q884">
        <f t="shared" si="52"/>
        <v>52515.254237288136</v>
      </c>
      <c r="R884">
        <f t="shared" ca="1" si="53"/>
        <v>40</v>
      </c>
      <c r="S884" s="2">
        <f t="shared" si="54"/>
        <v>6475.6600000000035</v>
      </c>
      <c r="T884" s="18">
        <v>0.1</v>
      </c>
      <c r="U884">
        <f t="shared" si="55"/>
        <v>7123.2260000000042</v>
      </c>
    </row>
    <row r="885" spans="1:21" x14ac:dyDescent="0.3">
      <c r="A885" t="s">
        <v>1812</v>
      </c>
      <c r="B885" s="1">
        <v>44221</v>
      </c>
      <c r="C885" t="s">
        <v>1813</v>
      </c>
      <c r="D885" s="3" t="s">
        <v>25</v>
      </c>
      <c r="E885" s="2">
        <v>9286</v>
      </c>
      <c r="F885" s="2">
        <v>20.100000000000001</v>
      </c>
      <c r="G885" s="4">
        <v>36</v>
      </c>
      <c r="H885" t="s">
        <v>81</v>
      </c>
      <c r="I885" t="s">
        <v>20</v>
      </c>
      <c r="J885" t="s">
        <v>28</v>
      </c>
      <c r="K885" s="2">
        <v>123664</v>
      </c>
      <c r="L885" t="s">
        <v>29</v>
      </c>
      <c r="M885" s="2">
        <v>0.37</v>
      </c>
      <c r="N885" s="2">
        <v>0.78</v>
      </c>
      <c r="O885" s="2">
        <v>1932.97</v>
      </c>
      <c r="P885" s="2">
        <v>2167.4899999999998</v>
      </c>
      <c r="Q885">
        <f t="shared" si="52"/>
        <v>11905.128205128205</v>
      </c>
      <c r="R885">
        <f t="shared" ca="1" si="53"/>
        <v>61</v>
      </c>
      <c r="S885" s="2">
        <f t="shared" si="54"/>
        <v>-5185.54</v>
      </c>
      <c r="T885" s="18">
        <v>0.1</v>
      </c>
      <c r="U885">
        <f t="shared" si="55"/>
        <v>-5704.0940000000001</v>
      </c>
    </row>
    <row r="886" spans="1:21" x14ac:dyDescent="0.3">
      <c r="A886" t="s">
        <v>1814</v>
      </c>
      <c r="B886" s="1">
        <v>44906</v>
      </c>
      <c r="C886" t="s">
        <v>1815</v>
      </c>
      <c r="D886" s="3" t="s">
        <v>53</v>
      </c>
      <c r="E886" s="2">
        <v>6901</v>
      </c>
      <c r="F886" s="2">
        <v>5.7</v>
      </c>
      <c r="G886" s="4">
        <v>60</v>
      </c>
      <c r="H886" t="s">
        <v>60</v>
      </c>
      <c r="I886" t="s">
        <v>20</v>
      </c>
      <c r="J886" t="s">
        <v>32</v>
      </c>
      <c r="K886" s="2">
        <v>75939</v>
      </c>
      <c r="L886" t="s">
        <v>33</v>
      </c>
      <c r="M886" s="2">
        <v>0.15</v>
      </c>
      <c r="N886" s="2">
        <v>0.6</v>
      </c>
      <c r="O886" s="2">
        <v>0</v>
      </c>
      <c r="P886" s="2">
        <v>0</v>
      </c>
      <c r="Q886">
        <f t="shared" si="52"/>
        <v>11501.666666666668</v>
      </c>
      <c r="R886">
        <f t="shared" ca="1" si="53"/>
        <v>39</v>
      </c>
      <c r="S886" s="2">
        <f t="shared" si="54"/>
        <v>-6901</v>
      </c>
      <c r="T886" s="18">
        <v>0.1</v>
      </c>
      <c r="U886">
        <f t="shared" si="55"/>
        <v>-7591.1</v>
      </c>
    </row>
    <row r="887" spans="1:21" x14ac:dyDescent="0.3">
      <c r="A887" t="s">
        <v>1816</v>
      </c>
      <c r="B887" s="1">
        <v>44373</v>
      </c>
      <c r="C887" t="s">
        <v>1817</v>
      </c>
      <c r="D887" s="3" t="s">
        <v>56</v>
      </c>
      <c r="E887" s="2">
        <v>32552</v>
      </c>
      <c r="F887" s="2">
        <v>12.9</v>
      </c>
      <c r="G887" s="4">
        <v>36</v>
      </c>
      <c r="H887" t="s">
        <v>19</v>
      </c>
      <c r="I887" t="s">
        <v>84</v>
      </c>
      <c r="J887" t="s">
        <v>21</v>
      </c>
      <c r="K887" s="2">
        <v>81493</v>
      </c>
      <c r="L887" t="s">
        <v>22</v>
      </c>
      <c r="M887" s="2">
        <v>0.21</v>
      </c>
      <c r="N887" s="2">
        <v>0.75</v>
      </c>
      <c r="O887" s="2">
        <v>36751.21</v>
      </c>
      <c r="P887" s="2">
        <v>0</v>
      </c>
      <c r="Q887">
        <f t="shared" si="52"/>
        <v>43402.666666666664</v>
      </c>
      <c r="R887">
        <f t="shared" ca="1" si="53"/>
        <v>56</v>
      </c>
      <c r="S887" s="2">
        <f t="shared" si="54"/>
        <v>4199.2099999999991</v>
      </c>
      <c r="T887" s="18">
        <v>0.1</v>
      </c>
      <c r="U887">
        <f t="shared" si="55"/>
        <v>4619.1309999999994</v>
      </c>
    </row>
    <row r="888" spans="1:21" x14ac:dyDescent="0.3">
      <c r="A888" t="s">
        <v>1818</v>
      </c>
      <c r="B888" s="1">
        <v>44481</v>
      </c>
      <c r="C888" t="s">
        <v>1819</v>
      </c>
      <c r="D888" s="3" t="s">
        <v>76</v>
      </c>
      <c r="E888" s="2">
        <v>26709</v>
      </c>
      <c r="F888" s="2">
        <v>23.6</v>
      </c>
      <c r="G888" s="4">
        <v>60</v>
      </c>
      <c r="H888" t="s">
        <v>19</v>
      </c>
      <c r="I888" t="s">
        <v>73</v>
      </c>
      <c r="J888" t="s">
        <v>37</v>
      </c>
      <c r="K888" s="2">
        <v>134188</v>
      </c>
      <c r="L888" t="s">
        <v>22</v>
      </c>
      <c r="M888" s="2">
        <v>0.12</v>
      </c>
      <c r="N888" s="2">
        <v>0.81</v>
      </c>
      <c r="O888" s="2">
        <v>33012.32</v>
      </c>
      <c r="P888" s="2">
        <v>0</v>
      </c>
      <c r="Q888">
        <f t="shared" si="52"/>
        <v>32974.074074074073</v>
      </c>
      <c r="R888">
        <f t="shared" ca="1" si="53"/>
        <v>53</v>
      </c>
      <c r="S888" s="2">
        <f t="shared" si="54"/>
        <v>6303.32</v>
      </c>
      <c r="T888" s="18">
        <v>0.1</v>
      </c>
      <c r="U888">
        <f t="shared" si="55"/>
        <v>6933.652</v>
      </c>
    </row>
    <row r="889" spans="1:21" x14ac:dyDescent="0.3">
      <c r="A889" t="s">
        <v>1820</v>
      </c>
      <c r="B889" s="1">
        <v>44259</v>
      </c>
      <c r="C889" t="s">
        <v>1821</v>
      </c>
      <c r="D889" s="3" t="s">
        <v>50</v>
      </c>
      <c r="E889" s="2">
        <v>32055</v>
      </c>
      <c r="F889" s="2">
        <v>7.5</v>
      </c>
      <c r="G889" s="4">
        <v>36</v>
      </c>
      <c r="H889" t="s">
        <v>60</v>
      </c>
      <c r="I889" t="s">
        <v>73</v>
      </c>
      <c r="J889" t="s">
        <v>32</v>
      </c>
      <c r="K889" s="2">
        <v>123326</v>
      </c>
      <c r="L889" t="s">
        <v>22</v>
      </c>
      <c r="M889" s="2">
        <v>0.47</v>
      </c>
      <c r="N889" s="2">
        <v>0.59</v>
      </c>
      <c r="O889" s="2">
        <v>0</v>
      </c>
      <c r="P889" s="2">
        <v>0</v>
      </c>
      <c r="Q889">
        <f t="shared" si="52"/>
        <v>54330.508474576272</v>
      </c>
      <c r="R889">
        <f t="shared" ca="1" si="53"/>
        <v>60</v>
      </c>
      <c r="S889" s="2">
        <f t="shared" si="54"/>
        <v>-32055</v>
      </c>
      <c r="T889" s="18">
        <v>0.1</v>
      </c>
      <c r="U889">
        <f t="shared" si="55"/>
        <v>-35260.5</v>
      </c>
    </row>
    <row r="890" spans="1:21" x14ac:dyDescent="0.3">
      <c r="A890" t="s">
        <v>1822</v>
      </c>
      <c r="B890" s="1">
        <v>45199</v>
      </c>
      <c r="C890" t="s">
        <v>1823</v>
      </c>
      <c r="D890" s="3" t="s">
        <v>53</v>
      </c>
      <c r="E890" s="2">
        <v>38685</v>
      </c>
      <c r="F890" s="2">
        <v>19.7</v>
      </c>
      <c r="G890" s="4">
        <v>60</v>
      </c>
      <c r="H890" t="s">
        <v>19</v>
      </c>
      <c r="I890" t="s">
        <v>36</v>
      </c>
      <c r="J890" t="s">
        <v>47</v>
      </c>
      <c r="K890" s="2">
        <v>70953</v>
      </c>
      <c r="L890" t="s">
        <v>29</v>
      </c>
      <c r="M890" s="2">
        <v>0.36</v>
      </c>
      <c r="N890" s="2">
        <v>0.73</v>
      </c>
      <c r="O890" s="2">
        <v>46305.94</v>
      </c>
      <c r="P890" s="2">
        <v>0</v>
      </c>
      <c r="Q890">
        <f t="shared" si="52"/>
        <v>52993.150684931505</v>
      </c>
      <c r="R890">
        <f t="shared" ca="1" si="53"/>
        <v>29</v>
      </c>
      <c r="S890" s="2">
        <f t="shared" si="54"/>
        <v>7620.9400000000023</v>
      </c>
      <c r="T890" s="18">
        <v>0.1</v>
      </c>
      <c r="U890">
        <f t="shared" si="55"/>
        <v>8383.0340000000033</v>
      </c>
    </row>
    <row r="891" spans="1:21" x14ac:dyDescent="0.3">
      <c r="A891" t="s">
        <v>1824</v>
      </c>
      <c r="B891" s="1">
        <v>44858</v>
      </c>
      <c r="C891" t="s">
        <v>1825</v>
      </c>
      <c r="D891" s="3" t="s">
        <v>25</v>
      </c>
      <c r="E891" s="2">
        <v>9429</v>
      </c>
      <c r="F891" s="2">
        <v>24.5</v>
      </c>
      <c r="G891" s="4">
        <v>60</v>
      </c>
      <c r="H891" t="s">
        <v>26</v>
      </c>
      <c r="I891" t="s">
        <v>27</v>
      </c>
      <c r="J891" t="s">
        <v>47</v>
      </c>
      <c r="K891" s="2">
        <v>95785</v>
      </c>
      <c r="L891" t="s">
        <v>33</v>
      </c>
      <c r="M891" s="2">
        <v>0.4</v>
      </c>
      <c r="N891" s="2">
        <v>0.71</v>
      </c>
      <c r="O891" s="2">
        <v>3859.51</v>
      </c>
      <c r="P891" s="2">
        <v>0</v>
      </c>
      <c r="Q891">
        <f t="shared" si="52"/>
        <v>13280.281690140846</v>
      </c>
      <c r="R891">
        <f t="shared" ca="1" si="53"/>
        <v>40</v>
      </c>
      <c r="S891" s="2">
        <f t="shared" si="54"/>
        <v>-5569.49</v>
      </c>
      <c r="T891" s="18">
        <v>0.1</v>
      </c>
      <c r="U891">
        <f t="shared" si="55"/>
        <v>-6126.4390000000003</v>
      </c>
    </row>
    <row r="892" spans="1:21" x14ac:dyDescent="0.3">
      <c r="A892" t="s">
        <v>1826</v>
      </c>
      <c r="B892" s="1">
        <v>44862</v>
      </c>
      <c r="C892" t="s">
        <v>1827</v>
      </c>
      <c r="D892" s="3" t="s">
        <v>46</v>
      </c>
      <c r="E892" s="2">
        <v>15716</v>
      </c>
      <c r="F892" s="2">
        <v>6</v>
      </c>
      <c r="G892" s="4">
        <v>36</v>
      </c>
      <c r="H892" t="s">
        <v>19</v>
      </c>
      <c r="I892" t="s">
        <v>27</v>
      </c>
      <c r="J892" t="s">
        <v>32</v>
      </c>
      <c r="K892" s="2">
        <v>49309</v>
      </c>
      <c r="L892" t="s">
        <v>22</v>
      </c>
      <c r="M892" s="2">
        <v>0.22</v>
      </c>
      <c r="N892" s="2">
        <v>0.53</v>
      </c>
      <c r="O892" s="2">
        <v>16658.96</v>
      </c>
      <c r="P892" s="2">
        <v>0</v>
      </c>
      <c r="Q892">
        <f t="shared" si="52"/>
        <v>29652.830188679243</v>
      </c>
      <c r="R892">
        <f t="shared" ca="1" si="53"/>
        <v>40</v>
      </c>
      <c r="S892" s="2">
        <f t="shared" si="54"/>
        <v>942.95999999999913</v>
      </c>
      <c r="T892" s="18">
        <v>0.1</v>
      </c>
      <c r="U892">
        <f t="shared" si="55"/>
        <v>1037.2559999999992</v>
      </c>
    </row>
    <row r="893" spans="1:21" x14ac:dyDescent="0.3">
      <c r="A893" t="s">
        <v>1828</v>
      </c>
      <c r="B893" s="1">
        <v>44352</v>
      </c>
      <c r="C893" t="s">
        <v>1829</v>
      </c>
      <c r="D893" s="3" t="s">
        <v>18</v>
      </c>
      <c r="E893" s="2">
        <v>12138</v>
      </c>
      <c r="F893" s="2">
        <v>18.600000000000001</v>
      </c>
      <c r="G893" s="4">
        <v>60</v>
      </c>
      <c r="H893" t="s">
        <v>26</v>
      </c>
      <c r="I893" t="s">
        <v>84</v>
      </c>
      <c r="J893" t="s">
        <v>28</v>
      </c>
      <c r="K893" s="2">
        <v>84195</v>
      </c>
      <c r="L893" t="s">
        <v>22</v>
      </c>
      <c r="M893" s="2">
        <v>0.44</v>
      </c>
      <c r="N893" s="2">
        <v>0.87</v>
      </c>
      <c r="O893" s="2">
        <v>3469.25</v>
      </c>
      <c r="P893" s="2">
        <v>0</v>
      </c>
      <c r="Q893">
        <f t="shared" si="52"/>
        <v>13951.724137931034</v>
      </c>
      <c r="R893">
        <f t="shared" ca="1" si="53"/>
        <v>57</v>
      </c>
      <c r="S893" s="2">
        <f t="shared" si="54"/>
        <v>-8668.75</v>
      </c>
      <c r="T893" s="18">
        <v>0.1</v>
      </c>
      <c r="U893">
        <f t="shared" si="55"/>
        <v>-9535.625</v>
      </c>
    </row>
    <row r="894" spans="1:21" x14ac:dyDescent="0.3">
      <c r="A894" t="s">
        <v>1830</v>
      </c>
      <c r="B894" s="1">
        <v>45269</v>
      </c>
      <c r="C894" t="s">
        <v>1831</v>
      </c>
      <c r="D894" s="3" t="s">
        <v>50</v>
      </c>
      <c r="E894" s="2">
        <v>36298</v>
      </c>
      <c r="F894" s="2">
        <v>14.4</v>
      </c>
      <c r="G894" s="4">
        <v>60</v>
      </c>
      <c r="H894" t="s">
        <v>19</v>
      </c>
      <c r="I894" t="s">
        <v>20</v>
      </c>
      <c r="J894" t="s">
        <v>32</v>
      </c>
      <c r="K894" s="2">
        <v>145662</v>
      </c>
      <c r="L894" t="s">
        <v>33</v>
      </c>
      <c r="M894" s="2">
        <v>0.2</v>
      </c>
      <c r="N894" s="2">
        <v>0.65</v>
      </c>
      <c r="O894" s="2">
        <v>41524.910000000003</v>
      </c>
      <c r="P894" s="2">
        <v>0</v>
      </c>
      <c r="Q894">
        <f t="shared" si="52"/>
        <v>55843.076923076922</v>
      </c>
      <c r="R894">
        <f t="shared" ca="1" si="53"/>
        <v>27</v>
      </c>
      <c r="S894" s="2">
        <f t="shared" si="54"/>
        <v>5226.9100000000035</v>
      </c>
      <c r="T894" s="18">
        <v>0.1</v>
      </c>
      <c r="U894">
        <f t="shared" si="55"/>
        <v>5749.6010000000042</v>
      </c>
    </row>
    <row r="895" spans="1:21" x14ac:dyDescent="0.3">
      <c r="A895" t="s">
        <v>1832</v>
      </c>
      <c r="B895" s="1">
        <v>45163</v>
      </c>
      <c r="C895" t="s">
        <v>1833</v>
      </c>
      <c r="D895" s="3" t="s">
        <v>18</v>
      </c>
      <c r="E895" s="2">
        <v>24429</v>
      </c>
      <c r="F895" s="2">
        <v>16.600000000000001</v>
      </c>
      <c r="G895" s="4">
        <v>60</v>
      </c>
      <c r="H895" t="s">
        <v>81</v>
      </c>
      <c r="I895" t="s">
        <v>57</v>
      </c>
      <c r="J895" t="s">
        <v>32</v>
      </c>
      <c r="K895" s="2">
        <v>55901</v>
      </c>
      <c r="L895" t="s">
        <v>29</v>
      </c>
      <c r="M895" s="2">
        <v>0.1</v>
      </c>
      <c r="N895" s="2">
        <v>0.76</v>
      </c>
      <c r="O895" s="2">
        <v>6635.65</v>
      </c>
      <c r="P895" s="2">
        <v>6328.17</v>
      </c>
      <c r="Q895">
        <f t="shared" si="52"/>
        <v>32143.42105263158</v>
      </c>
      <c r="R895">
        <f t="shared" ca="1" si="53"/>
        <v>30</v>
      </c>
      <c r="S895" s="2">
        <f t="shared" si="54"/>
        <v>-11465.18</v>
      </c>
      <c r="T895" s="18">
        <v>0.1</v>
      </c>
      <c r="U895">
        <f t="shared" si="55"/>
        <v>-12611.698000000002</v>
      </c>
    </row>
    <row r="896" spans="1:21" x14ac:dyDescent="0.3">
      <c r="A896" t="s">
        <v>1834</v>
      </c>
      <c r="B896" s="1">
        <v>45045</v>
      </c>
      <c r="C896" t="s">
        <v>1835</v>
      </c>
      <c r="D896" s="3" t="s">
        <v>40</v>
      </c>
      <c r="E896" s="2">
        <v>6772</v>
      </c>
      <c r="F896" s="2">
        <v>6.7</v>
      </c>
      <c r="G896" s="4">
        <v>36</v>
      </c>
      <c r="H896" t="s">
        <v>26</v>
      </c>
      <c r="I896" t="s">
        <v>41</v>
      </c>
      <c r="J896" t="s">
        <v>21</v>
      </c>
      <c r="K896" s="2">
        <v>53576</v>
      </c>
      <c r="L896" t="s">
        <v>29</v>
      </c>
      <c r="M896" s="2">
        <v>0.25</v>
      </c>
      <c r="N896" s="2">
        <v>0.73</v>
      </c>
      <c r="O896" s="2">
        <v>2938.07</v>
      </c>
      <c r="P896" s="2">
        <v>0</v>
      </c>
      <c r="Q896">
        <f t="shared" si="52"/>
        <v>9276.7123287671238</v>
      </c>
      <c r="R896">
        <f t="shared" ca="1" si="53"/>
        <v>34</v>
      </c>
      <c r="S896" s="2">
        <f t="shared" si="54"/>
        <v>-3833.93</v>
      </c>
      <c r="T896" s="18">
        <v>0.1</v>
      </c>
      <c r="U896">
        <f t="shared" si="55"/>
        <v>-4217.3230000000003</v>
      </c>
    </row>
    <row r="897" spans="1:21" x14ac:dyDescent="0.3">
      <c r="A897" t="s">
        <v>1836</v>
      </c>
      <c r="B897" s="1">
        <v>44885</v>
      </c>
      <c r="C897" t="s">
        <v>1837</v>
      </c>
      <c r="D897" s="3" t="s">
        <v>25</v>
      </c>
      <c r="E897" s="2">
        <v>36732</v>
      </c>
      <c r="F897" s="2">
        <v>5.9</v>
      </c>
      <c r="G897" s="4">
        <v>60</v>
      </c>
      <c r="H897" t="s">
        <v>19</v>
      </c>
      <c r="I897" t="s">
        <v>36</v>
      </c>
      <c r="J897" t="s">
        <v>47</v>
      </c>
      <c r="K897" s="2">
        <v>61508</v>
      </c>
      <c r="L897" t="s">
        <v>22</v>
      </c>
      <c r="M897" s="2">
        <v>0.33</v>
      </c>
      <c r="N897" s="2">
        <v>0.73</v>
      </c>
      <c r="O897" s="2">
        <v>38899.19</v>
      </c>
      <c r="P897" s="2">
        <v>0</v>
      </c>
      <c r="Q897">
        <f t="shared" si="52"/>
        <v>50317.808219178085</v>
      </c>
      <c r="R897">
        <f t="shared" ca="1" si="53"/>
        <v>39</v>
      </c>
      <c r="S897" s="2">
        <f t="shared" si="54"/>
        <v>2167.1900000000023</v>
      </c>
      <c r="T897" s="18">
        <v>0.1</v>
      </c>
      <c r="U897">
        <f t="shared" si="55"/>
        <v>2383.9090000000028</v>
      </c>
    </row>
    <row r="898" spans="1:21" x14ac:dyDescent="0.3">
      <c r="A898" t="s">
        <v>1838</v>
      </c>
      <c r="B898" s="1">
        <v>44344</v>
      </c>
      <c r="C898" t="s">
        <v>1839</v>
      </c>
      <c r="D898" s="3" t="s">
        <v>18</v>
      </c>
      <c r="E898" s="2">
        <v>18347</v>
      </c>
      <c r="F898" s="2">
        <v>18.3</v>
      </c>
      <c r="G898" s="4">
        <v>36</v>
      </c>
      <c r="H898" t="s">
        <v>19</v>
      </c>
      <c r="I898" t="s">
        <v>36</v>
      </c>
      <c r="J898" t="s">
        <v>47</v>
      </c>
      <c r="K898" s="2">
        <v>104711</v>
      </c>
      <c r="L898" t="s">
        <v>22</v>
      </c>
      <c r="M898" s="2">
        <v>0.28999999999999998</v>
      </c>
      <c r="N898" s="2">
        <v>0.55000000000000004</v>
      </c>
      <c r="O898" s="2">
        <v>21704.5</v>
      </c>
      <c r="P898" s="2">
        <v>0</v>
      </c>
      <c r="Q898">
        <f t="shared" si="52"/>
        <v>33358.181818181816</v>
      </c>
      <c r="R898">
        <f t="shared" ca="1" si="53"/>
        <v>57</v>
      </c>
      <c r="S898" s="2">
        <f t="shared" si="54"/>
        <v>3357.5</v>
      </c>
      <c r="T898" s="18">
        <v>0.1</v>
      </c>
      <c r="U898">
        <f t="shared" si="55"/>
        <v>3693.2500000000005</v>
      </c>
    </row>
    <row r="899" spans="1:21" x14ac:dyDescent="0.3">
      <c r="A899" t="s">
        <v>1840</v>
      </c>
      <c r="B899" s="1">
        <v>44538</v>
      </c>
      <c r="C899" t="s">
        <v>1841</v>
      </c>
      <c r="D899" s="3" t="s">
        <v>76</v>
      </c>
      <c r="E899" s="2">
        <v>17920</v>
      </c>
      <c r="F899" s="2">
        <v>21.5</v>
      </c>
      <c r="G899" s="4">
        <v>60</v>
      </c>
      <c r="H899" t="s">
        <v>19</v>
      </c>
      <c r="I899" t="s">
        <v>73</v>
      </c>
      <c r="J899" t="s">
        <v>37</v>
      </c>
      <c r="K899" s="2">
        <v>55464</v>
      </c>
      <c r="L899" t="s">
        <v>33</v>
      </c>
      <c r="M899" s="2">
        <v>0.44</v>
      </c>
      <c r="N899" s="2">
        <v>0.69</v>
      </c>
      <c r="O899" s="2">
        <v>21772.799999999999</v>
      </c>
      <c r="P899" s="2">
        <v>0</v>
      </c>
      <c r="Q899">
        <f t="shared" ref="Q899:Q962" si="56">E899/N899</f>
        <v>25971.014492753624</v>
      </c>
      <c r="R899">
        <f t="shared" ref="R899:R962" ca="1" si="57">DATEDIF(B899, TODAY(), "M")</f>
        <v>51</v>
      </c>
      <c r="S899" s="2">
        <f t="shared" ref="S899:S962" si="58">(O899+P899)-E899</f>
        <v>3852.7999999999993</v>
      </c>
      <c r="T899" s="18">
        <v>0.1</v>
      </c>
      <c r="U899">
        <f t="shared" ref="U899:U962" si="59">S899*(1+T899)</f>
        <v>4238.08</v>
      </c>
    </row>
    <row r="900" spans="1:21" x14ac:dyDescent="0.3">
      <c r="A900" t="s">
        <v>1842</v>
      </c>
      <c r="B900" s="1">
        <v>44672</v>
      </c>
      <c r="C900" t="s">
        <v>1843</v>
      </c>
      <c r="D900" s="3" t="s">
        <v>40</v>
      </c>
      <c r="E900" s="2">
        <v>32822</v>
      </c>
      <c r="F900" s="2">
        <v>20.6</v>
      </c>
      <c r="G900" s="4">
        <v>60</v>
      </c>
      <c r="H900" t="s">
        <v>60</v>
      </c>
      <c r="I900" t="s">
        <v>84</v>
      </c>
      <c r="J900" t="s">
        <v>32</v>
      </c>
      <c r="K900" s="2">
        <v>90281</v>
      </c>
      <c r="L900" t="s">
        <v>22</v>
      </c>
      <c r="M900" s="2">
        <v>0.14000000000000001</v>
      </c>
      <c r="N900" s="2">
        <v>0.7</v>
      </c>
      <c r="O900" s="2">
        <v>0</v>
      </c>
      <c r="P900" s="2">
        <v>0</v>
      </c>
      <c r="Q900">
        <f t="shared" si="56"/>
        <v>46888.571428571435</v>
      </c>
      <c r="R900">
        <f t="shared" ca="1" si="57"/>
        <v>46</v>
      </c>
      <c r="S900" s="2">
        <f t="shared" si="58"/>
        <v>-32822</v>
      </c>
      <c r="T900" s="18">
        <v>0.1</v>
      </c>
      <c r="U900">
        <f t="shared" si="59"/>
        <v>-36104.200000000004</v>
      </c>
    </row>
    <row r="901" spans="1:21" x14ac:dyDescent="0.3">
      <c r="A901" t="s">
        <v>1844</v>
      </c>
      <c r="B901" s="1">
        <v>45283</v>
      </c>
      <c r="C901" t="s">
        <v>1845</v>
      </c>
      <c r="D901" s="3" t="s">
        <v>72</v>
      </c>
      <c r="E901" s="2">
        <v>24563</v>
      </c>
      <c r="F901" s="2">
        <v>15.9</v>
      </c>
      <c r="G901" s="4">
        <v>36</v>
      </c>
      <c r="H901" t="s">
        <v>26</v>
      </c>
      <c r="I901" t="s">
        <v>20</v>
      </c>
      <c r="J901" t="s">
        <v>32</v>
      </c>
      <c r="K901" s="2">
        <v>46260</v>
      </c>
      <c r="L901" t="s">
        <v>33</v>
      </c>
      <c r="M901" s="2">
        <v>0.32</v>
      </c>
      <c r="N901" s="2">
        <v>0.83</v>
      </c>
      <c r="O901" s="2">
        <v>10136.36</v>
      </c>
      <c r="P901" s="2">
        <v>0</v>
      </c>
      <c r="Q901">
        <f t="shared" si="56"/>
        <v>29593.975903614461</v>
      </c>
      <c r="R901">
        <f t="shared" ca="1" si="57"/>
        <v>26</v>
      </c>
      <c r="S901" s="2">
        <f t="shared" si="58"/>
        <v>-14426.64</v>
      </c>
      <c r="T901" s="18">
        <v>0.1</v>
      </c>
      <c r="U901">
        <f t="shared" si="59"/>
        <v>-15869.304</v>
      </c>
    </row>
    <row r="902" spans="1:21" x14ac:dyDescent="0.3">
      <c r="A902" t="s">
        <v>1846</v>
      </c>
      <c r="B902" s="1">
        <v>44757</v>
      </c>
      <c r="C902" t="s">
        <v>1847</v>
      </c>
      <c r="D902" s="3" t="s">
        <v>46</v>
      </c>
      <c r="E902" s="2">
        <v>8967</v>
      </c>
      <c r="F902" s="2">
        <v>7</v>
      </c>
      <c r="G902" s="4">
        <v>60</v>
      </c>
      <c r="H902" t="s">
        <v>19</v>
      </c>
      <c r="I902" t="s">
        <v>20</v>
      </c>
      <c r="J902" t="s">
        <v>28</v>
      </c>
      <c r="K902" s="2">
        <v>65440</v>
      </c>
      <c r="L902" t="s">
        <v>22</v>
      </c>
      <c r="M902" s="2">
        <v>0.31</v>
      </c>
      <c r="N902" s="2">
        <v>0.88</v>
      </c>
      <c r="O902" s="2">
        <v>9594.69</v>
      </c>
      <c r="P902" s="2">
        <v>0</v>
      </c>
      <c r="Q902">
        <f t="shared" si="56"/>
        <v>10189.772727272728</v>
      </c>
      <c r="R902">
        <f t="shared" ca="1" si="57"/>
        <v>44</v>
      </c>
      <c r="S902" s="2">
        <f t="shared" si="58"/>
        <v>627.69000000000051</v>
      </c>
      <c r="T902" s="18">
        <v>0.1</v>
      </c>
      <c r="U902">
        <f t="shared" si="59"/>
        <v>690.45900000000063</v>
      </c>
    </row>
    <row r="903" spans="1:21" x14ac:dyDescent="0.3">
      <c r="A903" t="s">
        <v>1848</v>
      </c>
      <c r="B903" s="1">
        <v>44523</v>
      </c>
      <c r="C903" t="s">
        <v>1849</v>
      </c>
      <c r="D903" s="3" t="s">
        <v>25</v>
      </c>
      <c r="E903" s="2">
        <v>12871</v>
      </c>
      <c r="F903" s="2">
        <v>18.8</v>
      </c>
      <c r="G903" s="4">
        <v>60</v>
      </c>
      <c r="H903" t="s">
        <v>19</v>
      </c>
      <c r="I903" t="s">
        <v>57</v>
      </c>
      <c r="J903" t="s">
        <v>47</v>
      </c>
      <c r="K903" s="2">
        <v>125082</v>
      </c>
      <c r="L903" t="s">
        <v>22</v>
      </c>
      <c r="M903" s="2">
        <v>0.21</v>
      </c>
      <c r="N903" s="2">
        <v>0.75</v>
      </c>
      <c r="O903" s="2">
        <v>15290.75</v>
      </c>
      <c r="P903" s="2">
        <v>0</v>
      </c>
      <c r="Q903">
        <f t="shared" si="56"/>
        <v>17161.333333333332</v>
      </c>
      <c r="R903">
        <f t="shared" ca="1" si="57"/>
        <v>51</v>
      </c>
      <c r="S903" s="2">
        <f t="shared" si="58"/>
        <v>2419.75</v>
      </c>
      <c r="T903" s="18">
        <v>0.1</v>
      </c>
      <c r="U903">
        <f t="shared" si="59"/>
        <v>2661.7250000000004</v>
      </c>
    </row>
    <row r="904" spans="1:21" x14ac:dyDescent="0.3">
      <c r="A904" t="s">
        <v>1850</v>
      </c>
      <c r="B904" s="1">
        <v>45186</v>
      </c>
      <c r="C904" t="s">
        <v>1851</v>
      </c>
      <c r="D904" s="3" t="s">
        <v>65</v>
      </c>
      <c r="E904" s="2">
        <v>29763</v>
      </c>
      <c r="F904" s="2">
        <v>9.8000000000000007</v>
      </c>
      <c r="G904" s="4">
        <v>36</v>
      </c>
      <c r="H904" t="s">
        <v>19</v>
      </c>
      <c r="I904" t="s">
        <v>73</v>
      </c>
      <c r="J904" t="s">
        <v>28</v>
      </c>
      <c r="K904" s="2">
        <v>135583</v>
      </c>
      <c r="L904" t="s">
        <v>22</v>
      </c>
      <c r="M904" s="2">
        <v>0.43</v>
      </c>
      <c r="N904" s="2">
        <v>0.54</v>
      </c>
      <c r="O904" s="2">
        <v>32679.77</v>
      </c>
      <c r="P904" s="2">
        <v>0</v>
      </c>
      <c r="Q904">
        <f t="shared" si="56"/>
        <v>55116.666666666664</v>
      </c>
      <c r="R904">
        <f t="shared" ca="1" si="57"/>
        <v>30</v>
      </c>
      <c r="S904" s="2">
        <f t="shared" si="58"/>
        <v>2916.7700000000004</v>
      </c>
      <c r="T904" s="18">
        <v>0.1</v>
      </c>
      <c r="U904">
        <f t="shared" si="59"/>
        <v>3208.4470000000006</v>
      </c>
    </row>
    <row r="905" spans="1:21" x14ac:dyDescent="0.3">
      <c r="A905" t="s">
        <v>1852</v>
      </c>
      <c r="B905" s="1">
        <v>44411</v>
      </c>
      <c r="C905" t="s">
        <v>1853</v>
      </c>
      <c r="D905" s="3" t="s">
        <v>50</v>
      </c>
      <c r="E905" s="2">
        <v>12916</v>
      </c>
      <c r="F905" s="2">
        <v>23.2</v>
      </c>
      <c r="G905" s="4">
        <v>60</v>
      </c>
      <c r="H905" t="s">
        <v>26</v>
      </c>
      <c r="I905" t="s">
        <v>57</v>
      </c>
      <c r="J905" t="s">
        <v>21</v>
      </c>
      <c r="K905" s="2">
        <v>86683</v>
      </c>
      <c r="L905" t="s">
        <v>29</v>
      </c>
      <c r="M905" s="2">
        <v>0.4</v>
      </c>
      <c r="N905" s="2">
        <v>0.61</v>
      </c>
      <c r="O905" s="2">
        <v>1414.24</v>
      </c>
      <c r="P905" s="2">
        <v>0</v>
      </c>
      <c r="Q905">
        <f t="shared" si="56"/>
        <v>21173.77049180328</v>
      </c>
      <c r="R905">
        <f t="shared" ca="1" si="57"/>
        <v>55</v>
      </c>
      <c r="S905" s="2">
        <f t="shared" si="58"/>
        <v>-11501.76</v>
      </c>
      <c r="T905" s="18">
        <v>0.1</v>
      </c>
      <c r="U905">
        <f t="shared" si="59"/>
        <v>-12651.936000000002</v>
      </c>
    </row>
    <row r="906" spans="1:21" x14ac:dyDescent="0.3">
      <c r="A906" t="s">
        <v>1854</v>
      </c>
      <c r="B906" s="1">
        <v>44631</v>
      </c>
      <c r="C906" t="s">
        <v>1855</v>
      </c>
      <c r="D906" s="3" t="s">
        <v>56</v>
      </c>
      <c r="E906" s="2">
        <v>9734</v>
      </c>
      <c r="F906" s="2">
        <v>21.8</v>
      </c>
      <c r="G906" s="4">
        <v>36</v>
      </c>
      <c r="H906" t="s">
        <v>26</v>
      </c>
      <c r="I906" t="s">
        <v>57</v>
      </c>
      <c r="J906" t="s">
        <v>37</v>
      </c>
      <c r="K906" s="2">
        <v>71430</v>
      </c>
      <c r="L906" t="s">
        <v>33</v>
      </c>
      <c r="M906" s="2">
        <v>0.39</v>
      </c>
      <c r="N906" s="2">
        <v>0.56999999999999995</v>
      </c>
      <c r="O906" s="2">
        <v>3613.86</v>
      </c>
      <c r="P906" s="2">
        <v>0</v>
      </c>
      <c r="Q906">
        <f t="shared" si="56"/>
        <v>17077.192982456141</v>
      </c>
      <c r="R906">
        <f t="shared" ca="1" si="57"/>
        <v>48</v>
      </c>
      <c r="S906" s="2">
        <f t="shared" si="58"/>
        <v>-6120.1399999999994</v>
      </c>
      <c r="T906" s="18">
        <v>0.1</v>
      </c>
      <c r="U906">
        <f t="shared" si="59"/>
        <v>-6732.1539999999995</v>
      </c>
    </row>
    <row r="907" spans="1:21" x14ac:dyDescent="0.3">
      <c r="A907" t="s">
        <v>1856</v>
      </c>
      <c r="B907" s="1">
        <v>45148</v>
      </c>
      <c r="C907" t="s">
        <v>1857</v>
      </c>
      <c r="D907" s="3" t="s">
        <v>18</v>
      </c>
      <c r="E907" s="2">
        <v>34613</v>
      </c>
      <c r="F907" s="2">
        <v>19.2</v>
      </c>
      <c r="G907" s="4">
        <v>36</v>
      </c>
      <c r="H907" t="s">
        <v>19</v>
      </c>
      <c r="I907" t="s">
        <v>20</v>
      </c>
      <c r="J907" t="s">
        <v>28</v>
      </c>
      <c r="K907" s="2">
        <v>31987</v>
      </c>
      <c r="L907" t="s">
        <v>33</v>
      </c>
      <c r="M907" s="2">
        <v>0.45</v>
      </c>
      <c r="N907" s="2">
        <v>0.56000000000000005</v>
      </c>
      <c r="O907" s="2">
        <v>41258.699999999997</v>
      </c>
      <c r="P907" s="2">
        <v>0</v>
      </c>
      <c r="Q907">
        <f t="shared" si="56"/>
        <v>61808.928571428565</v>
      </c>
      <c r="R907">
        <f t="shared" ca="1" si="57"/>
        <v>31</v>
      </c>
      <c r="S907" s="2">
        <f t="shared" si="58"/>
        <v>6645.6999999999971</v>
      </c>
      <c r="T907" s="18">
        <v>0.1</v>
      </c>
      <c r="U907">
        <f t="shared" si="59"/>
        <v>7310.2699999999977</v>
      </c>
    </row>
    <row r="908" spans="1:21" x14ac:dyDescent="0.3">
      <c r="A908" t="s">
        <v>1858</v>
      </c>
      <c r="B908" s="1">
        <v>44919</v>
      </c>
      <c r="C908" t="s">
        <v>1859</v>
      </c>
      <c r="D908" s="3" t="s">
        <v>50</v>
      </c>
      <c r="E908" s="2">
        <v>29179</v>
      </c>
      <c r="F908" s="2">
        <v>24</v>
      </c>
      <c r="G908" s="4">
        <v>36</v>
      </c>
      <c r="H908" t="s">
        <v>26</v>
      </c>
      <c r="I908" t="s">
        <v>73</v>
      </c>
      <c r="J908" t="s">
        <v>47</v>
      </c>
      <c r="K908" s="2">
        <v>144778</v>
      </c>
      <c r="L908" t="s">
        <v>29</v>
      </c>
      <c r="M908" s="2">
        <v>0.39</v>
      </c>
      <c r="N908" s="2">
        <v>0.66</v>
      </c>
      <c r="O908" s="2">
        <v>7176.47</v>
      </c>
      <c r="P908" s="2">
        <v>0</v>
      </c>
      <c r="Q908">
        <f t="shared" si="56"/>
        <v>44210.606060606056</v>
      </c>
      <c r="R908">
        <f t="shared" ca="1" si="57"/>
        <v>38</v>
      </c>
      <c r="S908" s="2">
        <f t="shared" si="58"/>
        <v>-22002.53</v>
      </c>
      <c r="T908" s="18">
        <v>0.1</v>
      </c>
      <c r="U908">
        <f t="shared" si="59"/>
        <v>-24202.782999999999</v>
      </c>
    </row>
    <row r="909" spans="1:21" x14ac:dyDescent="0.3">
      <c r="A909" t="s">
        <v>1860</v>
      </c>
      <c r="B909" s="1">
        <v>44228</v>
      </c>
      <c r="C909" t="s">
        <v>1861</v>
      </c>
      <c r="D909" s="3" t="s">
        <v>50</v>
      </c>
      <c r="E909" s="2">
        <v>36262</v>
      </c>
      <c r="F909" s="2">
        <v>5.6</v>
      </c>
      <c r="G909" s="4">
        <v>60</v>
      </c>
      <c r="H909" t="s">
        <v>26</v>
      </c>
      <c r="I909" t="s">
        <v>84</v>
      </c>
      <c r="J909" t="s">
        <v>21</v>
      </c>
      <c r="K909" s="2">
        <v>55105</v>
      </c>
      <c r="L909" t="s">
        <v>29</v>
      </c>
      <c r="M909" s="2">
        <v>0.19</v>
      </c>
      <c r="N909" s="2">
        <v>0.6</v>
      </c>
      <c r="O909" s="2">
        <v>6621.15</v>
      </c>
      <c r="P909" s="2">
        <v>0</v>
      </c>
      <c r="Q909">
        <f t="shared" si="56"/>
        <v>60436.666666666672</v>
      </c>
      <c r="R909">
        <f t="shared" ca="1" si="57"/>
        <v>61</v>
      </c>
      <c r="S909" s="2">
        <f t="shared" si="58"/>
        <v>-29640.85</v>
      </c>
      <c r="T909" s="18">
        <v>0.1</v>
      </c>
      <c r="U909">
        <f t="shared" si="59"/>
        <v>-32604.935000000001</v>
      </c>
    </row>
    <row r="910" spans="1:21" x14ac:dyDescent="0.3">
      <c r="A910" t="s">
        <v>1862</v>
      </c>
      <c r="B910" s="1">
        <v>44866</v>
      </c>
      <c r="C910" t="s">
        <v>1863</v>
      </c>
      <c r="D910" s="3" t="s">
        <v>65</v>
      </c>
      <c r="E910" s="2">
        <v>13677</v>
      </c>
      <c r="F910" s="2">
        <v>19.7</v>
      </c>
      <c r="G910" s="4">
        <v>36</v>
      </c>
      <c r="H910" t="s">
        <v>60</v>
      </c>
      <c r="I910" t="s">
        <v>27</v>
      </c>
      <c r="J910" t="s">
        <v>32</v>
      </c>
      <c r="K910" s="2">
        <v>108484</v>
      </c>
      <c r="L910" t="s">
        <v>29</v>
      </c>
      <c r="M910" s="2">
        <v>0.38</v>
      </c>
      <c r="N910" s="2">
        <v>0.6</v>
      </c>
      <c r="O910" s="2">
        <v>0</v>
      </c>
      <c r="P910" s="2">
        <v>0</v>
      </c>
      <c r="Q910">
        <f t="shared" si="56"/>
        <v>22795</v>
      </c>
      <c r="R910">
        <f t="shared" ca="1" si="57"/>
        <v>40</v>
      </c>
      <c r="S910" s="2">
        <f t="shared" si="58"/>
        <v>-13677</v>
      </c>
      <c r="T910" s="18">
        <v>0.1</v>
      </c>
      <c r="U910">
        <f t="shared" si="59"/>
        <v>-15044.7</v>
      </c>
    </row>
    <row r="911" spans="1:21" x14ac:dyDescent="0.3">
      <c r="A911" t="s">
        <v>1864</v>
      </c>
      <c r="B911" s="1">
        <v>44481</v>
      </c>
      <c r="C911" t="s">
        <v>1865</v>
      </c>
      <c r="D911" s="3" t="s">
        <v>65</v>
      </c>
      <c r="E911" s="2">
        <v>19268</v>
      </c>
      <c r="F911" s="2">
        <v>11.6</v>
      </c>
      <c r="G911" s="4">
        <v>36</v>
      </c>
      <c r="H911" t="s">
        <v>81</v>
      </c>
      <c r="I911" t="s">
        <v>20</v>
      </c>
      <c r="J911" t="s">
        <v>21</v>
      </c>
      <c r="K911" s="2">
        <v>148747</v>
      </c>
      <c r="L911" t="s">
        <v>33</v>
      </c>
      <c r="M911" s="2">
        <v>0.22</v>
      </c>
      <c r="N911" s="2">
        <v>0.52</v>
      </c>
      <c r="O911" s="2">
        <v>2215.9299999999998</v>
      </c>
      <c r="P911" s="2">
        <v>9626.5400000000009</v>
      </c>
      <c r="Q911">
        <f t="shared" si="56"/>
        <v>37053.846153846156</v>
      </c>
      <c r="R911">
        <f t="shared" ca="1" si="57"/>
        <v>53</v>
      </c>
      <c r="S911" s="2">
        <f t="shared" si="58"/>
        <v>-7425.5299999999988</v>
      </c>
      <c r="T911" s="18">
        <v>0.1</v>
      </c>
      <c r="U911">
        <f t="shared" si="59"/>
        <v>-8168.0829999999996</v>
      </c>
    </row>
    <row r="912" spans="1:21" x14ac:dyDescent="0.3">
      <c r="A912" t="s">
        <v>1866</v>
      </c>
      <c r="B912" s="1">
        <v>44625</v>
      </c>
      <c r="C912" t="s">
        <v>1867</v>
      </c>
      <c r="D912" s="3" t="s">
        <v>40</v>
      </c>
      <c r="E912" s="2">
        <v>13330</v>
      </c>
      <c r="F912" s="2">
        <v>23.1</v>
      </c>
      <c r="G912" s="4">
        <v>60</v>
      </c>
      <c r="H912" t="s">
        <v>26</v>
      </c>
      <c r="I912" t="s">
        <v>73</v>
      </c>
      <c r="J912" t="s">
        <v>28</v>
      </c>
      <c r="K912" s="2">
        <v>43026</v>
      </c>
      <c r="L912" t="s">
        <v>22</v>
      </c>
      <c r="M912" s="2">
        <v>0.2</v>
      </c>
      <c r="N912" s="2">
        <v>0.51</v>
      </c>
      <c r="O912" s="2">
        <v>3589.27</v>
      </c>
      <c r="P912" s="2">
        <v>0</v>
      </c>
      <c r="Q912">
        <f t="shared" si="56"/>
        <v>26137.254901960783</v>
      </c>
      <c r="R912">
        <f t="shared" ca="1" si="57"/>
        <v>48</v>
      </c>
      <c r="S912" s="2">
        <f t="shared" si="58"/>
        <v>-9740.73</v>
      </c>
      <c r="T912" s="18">
        <v>0.1</v>
      </c>
      <c r="U912">
        <f t="shared" si="59"/>
        <v>-10714.803</v>
      </c>
    </row>
    <row r="913" spans="1:21" x14ac:dyDescent="0.3">
      <c r="A913" t="s">
        <v>1868</v>
      </c>
      <c r="B913" s="1">
        <v>44482</v>
      </c>
      <c r="C913" t="s">
        <v>1869</v>
      </c>
      <c r="D913" s="3" t="s">
        <v>25</v>
      </c>
      <c r="E913" s="2">
        <v>21733</v>
      </c>
      <c r="F913" s="2">
        <v>10.3</v>
      </c>
      <c r="G913" s="4">
        <v>36</v>
      </c>
      <c r="H913" t="s">
        <v>26</v>
      </c>
      <c r="I913" t="s">
        <v>27</v>
      </c>
      <c r="J913" t="s">
        <v>47</v>
      </c>
      <c r="K913" s="2">
        <v>98309</v>
      </c>
      <c r="L913" t="s">
        <v>29</v>
      </c>
      <c r="M913" s="2">
        <v>0.13</v>
      </c>
      <c r="N913" s="2">
        <v>0.55000000000000004</v>
      </c>
      <c r="O913" s="2">
        <v>4562.7700000000004</v>
      </c>
      <c r="P913" s="2">
        <v>0</v>
      </c>
      <c r="Q913">
        <f t="shared" si="56"/>
        <v>39514.545454545449</v>
      </c>
      <c r="R913">
        <f t="shared" ca="1" si="57"/>
        <v>53</v>
      </c>
      <c r="S913" s="2">
        <f t="shared" si="58"/>
        <v>-17170.23</v>
      </c>
      <c r="T913" s="18">
        <v>0.1</v>
      </c>
      <c r="U913">
        <f t="shared" si="59"/>
        <v>-18887.253000000001</v>
      </c>
    </row>
    <row r="914" spans="1:21" x14ac:dyDescent="0.3">
      <c r="A914" t="s">
        <v>1870</v>
      </c>
      <c r="B914" s="1">
        <v>45239</v>
      </c>
      <c r="C914" t="s">
        <v>1871</v>
      </c>
      <c r="D914" s="3" t="s">
        <v>76</v>
      </c>
      <c r="E914" s="2">
        <v>38947</v>
      </c>
      <c r="F914" s="2">
        <v>19.5</v>
      </c>
      <c r="G914" s="4">
        <v>60</v>
      </c>
      <c r="H914" t="s">
        <v>19</v>
      </c>
      <c r="I914" t="s">
        <v>73</v>
      </c>
      <c r="J914" t="s">
        <v>28</v>
      </c>
      <c r="K914" s="2">
        <v>75927</v>
      </c>
      <c r="L914" t="s">
        <v>29</v>
      </c>
      <c r="M914" s="2">
        <v>0.4</v>
      </c>
      <c r="N914" s="2">
        <v>0.57999999999999996</v>
      </c>
      <c r="O914" s="2">
        <v>46541.66</v>
      </c>
      <c r="P914" s="2">
        <v>0</v>
      </c>
      <c r="Q914">
        <f t="shared" si="56"/>
        <v>67150</v>
      </c>
      <c r="R914">
        <f t="shared" ca="1" si="57"/>
        <v>28</v>
      </c>
      <c r="S914" s="2">
        <f t="shared" si="58"/>
        <v>7594.6600000000035</v>
      </c>
      <c r="T914" s="18">
        <v>0.1</v>
      </c>
      <c r="U914">
        <f t="shared" si="59"/>
        <v>8354.1260000000038</v>
      </c>
    </row>
    <row r="915" spans="1:21" x14ac:dyDescent="0.3">
      <c r="A915" t="s">
        <v>1872</v>
      </c>
      <c r="B915" s="1">
        <v>44214</v>
      </c>
      <c r="C915" t="s">
        <v>1873</v>
      </c>
      <c r="D915" s="3" t="s">
        <v>46</v>
      </c>
      <c r="E915" s="2">
        <v>28286</v>
      </c>
      <c r="F915" s="2">
        <v>22.6</v>
      </c>
      <c r="G915" s="4">
        <v>60</v>
      </c>
      <c r="H915" t="s">
        <v>26</v>
      </c>
      <c r="I915" t="s">
        <v>57</v>
      </c>
      <c r="J915" t="s">
        <v>32</v>
      </c>
      <c r="K915" s="2">
        <v>105414</v>
      </c>
      <c r="L915" t="s">
        <v>29</v>
      </c>
      <c r="M915" s="2">
        <v>0.38</v>
      </c>
      <c r="N915" s="2">
        <v>0.69</v>
      </c>
      <c r="O915" s="2">
        <v>4615.7299999999996</v>
      </c>
      <c r="P915" s="2">
        <v>0</v>
      </c>
      <c r="Q915">
        <f t="shared" si="56"/>
        <v>40994.202898550728</v>
      </c>
      <c r="R915">
        <f t="shared" ca="1" si="57"/>
        <v>62</v>
      </c>
      <c r="S915" s="2">
        <f t="shared" si="58"/>
        <v>-23670.27</v>
      </c>
      <c r="T915" s="18">
        <v>0.1</v>
      </c>
      <c r="U915">
        <f t="shared" si="59"/>
        <v>-26037.297000000002</v>
      </c>
    </row>
    <row r="916" spans="1:21" x14ac:dyDescent="0.3">
      <c r="A916" t="s">
        <v>1874</v>
      </c>
      <c r="B916" s="1">
        <v>44965</v>
      </c>
      <c r="C916" t="s">
        <v>1875</v>
      </c>
      <c r="D916" s="3" t="s">
        <v>65</v>
      </c>
      <c r="E916" s="2">
        <v>7610</v>
      </c>
      <c r="F916" s="2">
        <v>5.8</v>
      </c>
      <c r="G916" s="4">
        <v>60</v>
      </c>
      <c r="H916" t="s">
        <v>19</v>
      </c>
      <c r="I916" t="s">
        <v>73</v>
      </c>
      <c r="J916" t="s">
        <v>32</v>
      </c>
      <c r="K916" s="2">
        <v>87535</v>
      </c>
      <c r="L916" t="s">
        <v>22</v>
      </c>
      <c r="M916" s="2">
        <v>0.19</v>
      </c>
      <c r="N916" s="2">
        <v>0.73</v>
      </c>
      <c r="O916" s="2">
        <v>8051.38</v>
      </c>
      <c r="P916" s="2">
        <v>0</v>
      </c>
      <c r="Q916">
        <f t="shared" si="56"/>
        <v>10424.657534246575</v>
      </c>
      <c r="R916">
        <f t="shared" ca="1" si="57"/>
        <v>37</v>
      </c>
      <c r="S916" s="2">
        <f t="shared" si="58"/>
        <v>441.38000000000011</v>
      </c>
      <c r="T916" s="18">
        <v>0.1</v>
      </c>
      <c r="U916">
        <f t="shared" si="59"/>
        <v>485.51800000000014</v>
      </c>
    </row>
    <row r="917" spans="1:21" x14ac:dyDescent="0.3">
      <c r="A917" t="s">
        <v>1876</v>
      </c>
      <c r="B917" s="1">
        <v>44786</v>
      </c>
      <c r="C917" t="s">
        <v>1877</v>
      </c>
      <c r="D917" s="3" t="s">
        <v>65</v>
      </c>
      <c r="E917" s="2">
        <v>7430</v>
      </c>
      <c r="F917" s="2">
        <v>13</v>
      </c>
      <c r="G917" s="4">
        <v>60</v>
      </c>
      <c r="H917" t="s">
        <v>19</v>
      </c>
      <c r="I917" t="s">
        <v>41</v>
      </c>
      <c r="J917" t="s">
        <v>47</v>
      </c>
      <c r="K917" s="2">
        <v>72946</v>
      </c>
      <c r="L917" t="s">
        <v>22</v>
      </c>
      <c r="M917" s="2">
        <v>0.4</v>
      </c>
      <c r="N917" s="2">
        <v>0.56000000000000005</v>
      </c>
      <c r="O917" s="2">
        <v>8395.9</v>
      </c>
      <c r="P917" s="2">
        <v>0</v>
      </c>
      <c r="Q917">
        <f t="shared" si="56"/>
        <v>13267.857142857141</v>
      </c>
      <c r="R917">
        <f t="shared" ca="1" si="57"/>
        <v>43</v>
      </c>
      <c r="S917" s="2">
        <f t="shared" si="58"/>
        <v>965.89999999999964</v>
      </c>
      <c r="T917" s="18">
        <v>0.1</v>
      </c>
      <c r="U917">
        <f t="shared" si="59"/>
        <v>1062.4899999999998</v>
      </c>
    </row>
    <row r="918" spans="1:21" x14ac:dyDescent="0.3">
      <c r="A918" t="s">
        <v>1878</v>
      </c>
      <c r="B918" s="1">
        <v>45206</v>
      </c>
      <c r="C918" t="s">
        <v>1879</v>
      </c>
      <c r="D918" s="3" t="s">
        <v>56</v>
      </c>
      <c r="E918" s="2">
        <v>14828</v>
      </c>
      <c r="F918" s="2">
        <v>20.2</v>
      </c>
      <c r="G918" s="4">
        <v>36</v>
      </c>
      <c r="H918" t="s">
        <v>19</v>
      </c>
      <c r="I918" t="s">
        <v>20</v>
      </c>
      <c r="J918" t="s">
        <v>37</v>
      </c>
      <c r="K918" s="2">
        <v>86561</v>
      </c>
      <c r="L918" t="s">
        <v>29</v>
      </c>
      <c r="M918" s="2">
        <v>0.47</v>
      </c>
      <c r="N918" s="2">
        <v>0.69</v>
      </c>
      <c r="O918" s="2">
        <v>17823.259999999998</v>
      </c>
      <c r="P918" s="2">
        <v>0</v>
      </c>
      <c r="Q918">
        <f t="shared" si="56"/>
        <v>21489.855072463768</v>
      </c>
      <c r="R918">
        <f t="shared" ca="1" si="57"/>
        <v>29</v>
      </c>
      <c r="S918" s="2">
        <f t="shared" si="58"/>
        <v>2995.2599999999984</v>
      </c>
      <c r="T918" s="18">
        <v>0.1</v>
      </c>
      <c r="U918">
        <f t="shared" si="59"/>
        <v>3294.7859999999987</v>
      </c>
    </row>
    <row r="919" spans="1:21" x14ac:dyDescent="0.3">
      <c r="A919" t="s">
        <v>1880</v>
      </c>
      <c r="B919" s="1">
        <v>44390</v>
      </c>
      <c r="C919" t="s">
        <v>1881</v>
      </c>
      <c r="D919" s="3" t="s">
        <v>72</v>
      </c>
      <c r="E919" s="2">
        <v>32497</v>
      </c>
      <c r="F919" s="2">
        <v>14.1</v>
      </c>
      <c r="G919" s="4">
        <v>36</v>
      </c>
      <c r="H919" t="s">
        <v>26</v>
      </c>
      <c r="I919" t="s">
        <v>57</v>
      </c>
      <c r="J919" t="s">
        <v>21</v>
      </c>
      <c r="K919" s="2">
        <v>40377</v>
      </c>
      <c r="L919" t="s">
        <v>22</v>
      </c>
      <c r="M919" s="2">
        <v>0.14000000000000001</v>
      </c>
      <c r="N919" s="2">
        <v>0.65</v>
      </c>
      <c r="O919" s="2">
        <v>11783.49</v>
      </c>
      <c r="P919" s="2">
        <v>0</v>
      </c>
      <c r="Q919">
        <f t="shared" si="56"/>
        <v>49995.384615384617</v>
      </c>
      <c r="R919">
        <f t="shared" ca="1" si="57"/>
        <v>56</v>
      </c>
      <c r="S919" s="2">
        <f t="shared" si="58"/>
        <v>-20713.510000000002</v>
      </c>
      <c r="T919" s="18">
        <v>0.1</v>
      </c>
      <c r="U919">
        <f t="shared" si="59"/>
        <v>-22784.861000000004</v>
      </c>
    </row>
    <row r="920" spans="1:21" x14ac:dyDescent="0.3">
      <c r="A920" t="s">
        <v>1882</v>
      </c>
      <c r="B920" s="1">
        <v>44698</v>
      </c>
      <c r="C920" t="s">
        <v>1883</v>
      </c>
      <c r="D920" s="3" t="s">
        <v>65</v>
      </c>
      <c r="E920" s="2">
        <v>37618</v>
      </c>
      <c r="F920" s="2">
        <v>10.3</v>
      </c>
      <c r="G920" s="4">
        <v>36</v>
      </c>
      <c r="H920" t="s">
        <v>19</v>
      </c>
      <c r="I920" t="s">
        <v>57</v>
      </c>
      <c r="J920" t="s">
        <v>21</v>
      </c>
      <c r="K920" s="2">
        <v>83592</v>
      </c>
      <c r="L920" t="s">
        <v>29</v>
      </c>
      <c r="M920" s="2">
        <v>0.19</v>
      </c>
      <c r="N920" s="2">
        <v>0.57999999999999996</v>
      </c>
      <c r="O920" s="2">
        <v>41492.65</v>
      </c>
      <c r="P920" s="2">
        <v>0</v>
      </c>
      <c r="Q920">
        <f t="shared" si="56"/>
        <v>64858.620689655174</v>
      </c>
      <c r="R920">
        <f t="shared" ca="1" si="57"/>
        <v>46</v>
      </c>
      <c r="S920" s="2">
        <f t="shared" si="58"/>
        <v>3874.6500000000015</v>
      </c>
      <c r="T920" s="18">
        <v>0.1</v>
      </c>
      <c r="U920">
        <f t="shared" si="59"/>
        <v>4262.1150000000016</v>
      </c>
    </row>
    <row r="921" spans="1:21" x14ac:dyDescent="0.3">
      <c r="A921" t="s">
        <v>1884</v>
      </c>
      <c r="B921" s="1">
        <v>45184</v>
      </c>
      <c r="C921" t="s">
        <v>1885</v>
      </c>
      <c r="D921" s="3" t="s">
        <v>72</v>
      </c>
      <c r="E921" s="2">
        <v>27526</v>
      </c>
      <c r="F921" s="2">
        <v>9.4</v>
      </c>
      <c r="G921" s="4">
        <v>36</v>
      </c>
      <c r="H921" t="s">
        <v>19</v>
      </c>
      <c r="I921" t="s">
        <v>73</v>
      </c>
      <c r="J921" t="s">
        <v>32</v>
      </c>
      <c r="K921" s="2">
        <v>37347</v>
      </c>
      <c r="L921" t="s">
        <v>22</v>
      </c>
      <c r="M921" s="2">
        <v>0.4</v>
      </c>
      <c r="N921" s="2">
        <v>0.5</v>
      </c>
      <c r="O921" s="2">
        <v>30113.439999999999</v>
      </c>
      <c r="P921" s="2">
        <v>0</v>
      </c>
      <c r="Q921">
        <f t="shared" si="56"/>
        <v>55052</v>
      </c>
      <c r="R921">
        <f t="shared" ca="1" si="57"/>
        <v>30</v>
      </c>
      <c r="S921" s="2">
        <f t="shared" si="58"/>
        <v>2587.4399999999987</v>
      </c>
      <c r="T921" s="18">
        <v>0.1</v>
      </c>
      <c r="U921">
        <f t="shared" si="59"/>
        <v>2846.1839999999988</v>
      </c>
    </row>
    <row r="922" spans="1:21" x14ac:dyDescent="0.3">
      <c r="A922" t="s">
        <v>1886</v>
      </c>
      <c r="B922" s="1">
        <v>44310</v>
      </c>
      <c r="C922" t="s">
        <v>1887</v>
      </c>
      <c r="D922" s="3" t="s">
        <v>40</v>
      </c>
      <c r="E922" s="2">
        <v>31158</v>
      </c>
      <c r="F922" s="2">
        <v>7.6</v>
      </c>
      <c r="G922" s="4">
        <v>36</v>
      </c>
      <c r="H922" t="s">
        <v>19</v>
      </c>
      <c r="I922" t="s">
        <v>20</v>
      </c>
      <c r="J922" t="s">
        <v>28</v>
      </c>
      <c r="K922" s="2">
        <v>63776</v>
      </c>
      <c r="L922" t="s">
        <v>33</v>
      </c>
      <c r="M922" s="2">
        <v>0.21</v>
      </c>
      <c r="N922" s="2">
        <v>0.71</v>
      </c>
      <c r="O922" s="2">
        <v>33526.01</v>
      </c>
      <c r="P922" s="2">
        <v>0</v>
      </c>
      <c r="Q922">
        <f t="shared" si="56"/>
        <v>43884.507042253521</v>
      </c>
      <c r="R922">
        <f t="shared" ca="1" si="57"/>
        <v>58</v>
      </c>
      <c r="S922" s="2">
        <f t="shared" si="58"/>
        <v>2368.010000000002</v>
      </c>
      <c r="T922" s="18">
        <v>0.1</v>
      </c>
      <c r="U922">
        <f t="shared" si="59"/>
        <v>2604.8110000000024</v>
      </c>
    </row>
    <row r="923" spans="1:21" x14ac:dyDescent="0.3">
      <c r="A923" t="s">
        <v>1888</v>
      </c>
      <c r="B923" s="1">
        <v>45143</v>
      </c>
      <c r="C923" t="s">
        <v>1889</v>
      </c>
      <c r="D923" s="3" t="s">
        <v>76</v>
      </c>
      <c r="E923" s="2">
        <v>26032</v>
      </c>
      <c r="F923" s="2">
        <v>22.1</v>
      </c>
      <c r="G923" s="4">
        <v>60</v>
      </c>
      <c r="H923" t="s">
        <v>19</v>
      </c>
      <c r="I923" t="s">
        <v>20</v>
      </c>
      <c r="J923" t="s">
        <v>28</v>
      </c>
      <c r="K923" s="2">
        <v>33783</v>
      </c>
      <c r="L923" t="s">
        <v>33</v>
      </c>
      <c r="M923" s="2">
        <v>0.35</v>
      </c>
      <c r="N923" s="2">
        <v>0.81</v>
      </c>
      <c r="O923" s="2">
        <v>31785.07</v>
      </c>
      <c r="P923" s="2">
        <v>0</v>
      </c>
      <c r="Q923">
        <f t="shared" si="56"/>
        <v>32138.271604938269</v>
      </c>
      <c r="R923">
        <f t="shared" ca="1" si="57"/>
        <v>31</v>
      </c>
      <c r="S923" s="2">
        <f t="shared" si="58"/>
        <v>5753.07</v>
      </c>
      <c r="T923" s="18">
        <v>0.1</v>
      </c>
      <c r="U923">
        <f t="shared" si="59"/>
        <v>6328.3770000000004</v>
      </c>
    </row>
    <row r="924" spans="1:21" x14ac:dyDescent="0.3">
      <c r="A924" t="s">
        <v>1890</v>
      </c>
      <c r="B924" s="1">
        <v>45027</v>
      </c>
      <c r="C924" t="s">
        <v>1891</v>
      </c>
      <c r="D924" s="3" t="s">
        <v>50</v>
      </c>
      <c r="E924" s="2">
        <v>38846</v>
      </c>
      <c r="F924" s="2">
        <v>16.5</v>
      </c>
      <c r="G924" s="4">
        <v>36</v>
      </c>
      <c r="H924" t="s">
        <v>19</v>
      </c>
      <c r="I924" t="s">
        <v>57</v>
      </c>
      <c r="J924" t="s">
        <v>37</v>
      </c>
      <c r="K924" s="2">
        <v>85798</v>
      </c>
      <c r="L924" t="s">
        <v>22</v>
      </c>
      <c r="M924" s="2">
        <v>0.13</v>
      </c>
      <c r="N924" s="2">
        <v>0.6</v>
      </c>
      <c r="O924" s="2">
        <v>45255.59</v>
      </c>
      <c r="P924" s="2">
        <v>0</v>
      </c>
      <c r="Q924">
        <f t="shared" si="56"/>
        <v>64743.333333333336</v>
      </c>
      <c r="R924">
        <f t="shared" ca="1" si="57"/>
        <v>35</v>
      </c>
      <c r="S924" s="2">
        <f t="shared" si="58"/>
        <v>6409.5899999999965</v>
      </c>
      <c r="T924" s="18">
        <v>0.1</v>
      </c>
      <c r="U924">
        <f t="shared" si="59"/>
        <v>7050.5489999999963</v>
      </c>
    </row>
    <row r="925" spans="1:21" x14ac:dyDescent="0.3">
      <c r="A925" t="s">
        <v>1892</v>
      </c>
      <c r="B925" s="1">
        <v>45121</v>
      </c>
      <c r="C925" t="s">
        <v>1893</v>
      </c>
      <c r="D925" s="3" t="s">
        <v>65</v>
      </c>
      <c r="E925" s="2">
        <v>30794</v>
      </c>
      <c r="F925" s="2">
        <v>6.5</v>
      </c>
      <c r="G925" s="4">
        <v>36</v>
      </c>
      <c r="H925" t="s">
        <v>26</v>
      </c>
      <c r="I925" t="s">
        <v>36</v>
      </c>
      <c r="J925" t="s">
        <v>28</v>
      </c>
      <c r="K925" s="2">
        <v>34298</v>
      </c>
      <c r="L925" t="s">
        <v>33</v>
      </c>
      <c r="M925" s="2">
        <v>0.28000000000000003</v>
      </c>
      <c r="N925" s="2">
        <v>0.56000000000000005</v>
      </c>
      <c r="O925" s="2">
        <v>12202.69</v>
      </c>
      <c r="P925" s="2">
        <v>0</v>
      </c>
      <c r="Q925">
        <f t="shared" si="56"/>
        <v>54989.28571428571</v>
      </c>
      <c r="R925">
        <f t="shared" ca="1" si="57"/>
        <v>32</v>
      </c>
      <c r="S925" s="2">
        <f t="shared" si="58"/>
        <v>-18591.309999999998</v>
      </c>
      <c r="T925" s="18">
        <v>0.1</v>
      </c>
      <c r="U925">
        <f t="shared" si="59"/>
        <v>-20450.440999999999</v>
      </c>
    </row>
    <row r="926" spans="1:21" x14ac:dyDescent="0.3">
      <c r="A926" t="s">
        <v>1894</v>
      </c>
      <c r="B926" s="1">
        <v>44251</v>
      </c>
      <c r="C926" t="s">
        <v>1895</v>
      </c>
      <c r="D926" s="3" t="s">
        <v>18</v>
      </c>
      <c r="E926" s="2">
        <v>6448</v>
      </c>
      <c r="F926" s="2">
        <v>12.7</v>
      </c>
      <c r="G926" s="4">
        <v>36</v>
      </c>
      <c r="H926" t="s">
        <v>26</v>
      </c>
      <c r="I926" t="s">
        <v>27</v>
      </c>
      <c r="J926" t="s">
        <v>21</v>
      </c>
      <c r="K926" s="2">
        <v>100204</v>
      </c>
      <c r="L926" t="s">
        <v>33</v>
      </c>
      <c r="M926" s="2">
        <v>0.4</v>
      </c>
      <c r="N926" s="2">
        <v>0.9</v>
      </c>
      <c r="O926" s="2">
        <v>1032.68</v>
      </c>
      <c r="P926" s="2">
        <v>0</v>
      </c>
      <c r="Q926">
        <f t="shared" si="56"/>
        <v>7164.4444444444443</v>
      </c>
      <c r="R926">
        <f t="shared" ca="1" si="57"/>
        <v>60</v>
      </c>
      <c r="S926" s="2">
        <f t="shared" si="58"/>
        <v>-5415.32</v>
      </c>
      <c r="T926" s="18">
        <v>0.1</v>
      </c>
      <c r="U926">
        <f t="shared" si="59"/>
        <v>-5956.8519999999999</v>
      </c>
    </row>
    <row r="927" spans="1:21" x14ac:dyDescent="0.3">
      <c r="A927" t="s">
        <v>1896</v>
      </c>
      <c r="B927" s="1">
        <v>44996</v>
      </c>
      <c r="C927" t="s">
        <v>1897</v>
      </c>
      <c r="D927" s="3" t="s">
        <v>72</v>
      </c>
      <c r="E927" s="2">
        <v>29861</v>
      </c>
      <c r="F927" s="2">
        <v>12.4</v>
      </c>
      <c r="G927" s="4">
        <v>60</v>
      </c>
      <c r="H927" t="s">
        <v>19</v>
      </c>
      <c r="I927" t="s">
        <v>27</v>
      </c>
      <c r="J927" t="s">
        <v>28</v>
      </c>
      <c r="K927" s="2">
        <v>116207</v>
      </c>
      <c r="L927" t="s">
        <v>33</v>
      </c>
      <c r="M927" s="2">
        <v>0.37</v>
      </c>
      <c r="N927" s="2">
        <v>0.62</v>
      </c>
      <c r="O927" s="2">
        <v>33563.760000000002</v>
      </c>
      <c r="P927" s="2">
        <v>0</v>
      </c>
      <c r="Q927">
        <f t="shared" si="56"/>
        <v>48162.903225806454</v>
      </c>
      <c r="R927">
        <f t="shared" ca="1" si="57"/>
        <v>36</v>
      </c>
      <c r="S927" s="2">
        <f t="shared" si="58"/>
        <v>3702.760000000002</v>
      </c>
      <c r="T927" s="18">
        <v>0.1</v>
      </c>
      <c r="U927">
        <f t="shared" si="59"/>
        <v>4073.0360000000028</v>
      </c>
    </row>
    <row r="928" spans="1:21" x14ac:dyDescent="0.3">
      <c r="A928" t="s">
        <v>1898</v>
      </c>
      <c r="B928" s="1">
        <v>44974</v>
      </c>
      <c r="C928" t="s">
        <v>1899</v>
      </c>
      <c r="D928" s="3" t="s">
        <v>56</v>
      </c>
      <c r="E928" s="2">
        <v>29141</v>
      </c>
      <c r="F928" s="2">
        <v>8.6</v>
      </c>
      <c r="G928" s="4">
        <v>60</v>
      </c>
      <c r="H928" t="s">
        <v>81</v>
      </c>
      <c r="I928" t="s">
        <v>84</v>
      </c>
      <c r="J928" t="s">
        <v>37</v>
      </c>
      <c r="K928" s="2">
        <v>130356</v>
      </c>
      <c r="L928" t="s">
        <v>29</v>
      </c>
      <c r="M928" s="2">
        <v>0.43</v>
      </c>
      <c r="N928" s="2">
        <v>0.6</v>
      </c>
      <c r="O928" s="2">
        <v>3346.38</v>
      </c>
      <c r="P928" s="2">
        <v>13855.54</v>
      </c>
      <c r="Q928">
        <f t="shared" si="56"/>
        <v>48568.333333333336</v>
      </c>
      <c r="R928">
        <f t="shared" ca="1" si="57"/>
        <v>37</v>
      </c>
      <c r="S928" s="2">
        <f t="shared" si="58"/>
        <v>-11939.079999999998</v>
      </c>
      <c r="T928" s="18">
        <v>0.1</v>
      </c>
      <c r="U928">
        <f t="shared" si="59"/>
        <v>-13132.987999999999</v>
      </c>
    </row>
    <row r="929" spans="1:21" x14ac:dyDescent="0.3">
      <c r="A929" t="s">
        <v>1900</v>
      </c>
      <c r="B929" s="1">
        <v>44358</v>
      </c>
      <c r="C929" t="s">
        <v>1901</v>
      </c>
      <c r="D929" s="3" t="s">
        <v>46</v>
      </c>
      <c r="E929" s="2">
        <v>10074</v>
      </c>
      <c r="F929" s="2">
        <v>13.7</v>
      </c>
      <c r="G929" s="4">
        <v>36</v>
      </c>
      <c r="H929" t="s">
        <v>26</v>
      </c>
      <c r="I929" t="s">
        <v>20</v>
      </c>
      <c r="J929" t="s">
        <v>21</v>
      </c>
      <c r="K929" s="2">
        <v>85161</v>
      </c>
      <c r="L929" t="s">
        <v>22</v>
      </c>
      <c r="M929" s="2">
        <v>0.45</v>
      </c>
      <c r="N929" s="2">
        <v>0.89</v>
      </c>
      <c r="O929" s="2">
        <v>4351.3500000000004</v>
      </c>
      <c r="P929" s="2">
        <v>0</v>
      </c>
      <c r="Q929">
        <f t="shared" si="56"/>
        <v>11319.101123595505</v>
      </c>
      <c r="R929">
        <f t="shared" ca="1" si="57"/>
        <v>57</v>
      </c>
      <c r="S929" s="2">
        <f t="shared" si="58"/>
        <v>-5722.65</v>
      </c>
      <c r="T929" s="18">
        <v>0.1</v>
      </c>
      <c r="U929">
        <f t="shared" si="59"/>
        <v>-6294.915</v>
      </c>
    </row>
    <row r="930" spans="1:21" x14ac:dyDescent="0.3">
      <c r="A930" t="s">
        <v>1902</v>
      </c>
      <c r="B930" s="1">
        <v>44283</v>
      </c>
      <c r="C930" t="s">
        <v>1903</v>
      </c>
      <c r="D930" s="3" t="s">
        <v>56</v>
      </c>
      <c r="E930" s="2">
        <v>7406</v>
      </c>
      <c r="F930" s="2">
        <v>11.6</v>
      </c>
      <c r="G930" s="4">
        <v>60</v>
      </c>
      <c r="H930" t="s">
        <v>19</v>
      </c>
      <c r="I930" t="s">
        <v>84</v>
      </c>
      <c r="J930" t="s">
        <v>28</v>
      </c>
      <c r="K930" s="2">
        <v>90652</v>
      </c>
      <c r="L930" t="s">
        <v>22</v>
      </c>
      <c r="M930" s="2">
        <v>0.41</v>
      </c>
      <c r="N930" s="2">
        <v>0.87</v>
      </c>
      <c r="O930" s="2">
        <v>8265.1</v>
      </c>
      <c r="P930" s="2">
        <v>0</v>
      </c>
      <c r="Q930">
        <f t="shared" si="56"/>
        <v>8512.6436781609191</v>
      </c>
      <c r="R930">
        <f t="shared" ca="1" si="57"/>
        <v>59</v>
      </c>
      <c r="S930" s="2">
        <f t="shared" si="58"/>
        <v>859.10000000000036</v>
      </c>
      <c r="T930" s="18">
        <v>0.1</v>
      </c>
      <c r="U930">
        <f t="shared" si="59"/>
        <v>945.01000000000045</v>
      </c>
    </row>
    <row r="931" spans="1:21" x14ac:dyDescent="0.3">
      <c r="A931" t="s">
        <v>1904</v>
      </c>
      <c r="B931" s="1">
        <v>44251</v>
      </c>
      <c r="C931" t="s">
        <v>1905</v>
      </c>
      <c r="D931" s="3" t="s">
        <v>65</v>
      </c>
      <c r="E931" s="2">
        <v>32823</v>
      </c>
      <c r="F931" s="2">
        <v>11.8</v>
      </c>
      <c r="G931" s="4">
        <v>36</v>
      </c>
      <c r="H931" t="s">
        <v>26</v>
      </c>
      <c r="I931" t="s">
        <v>73</v>
      </c>
      <c r="J931" t="s">
        <v>21</v>
      </c>
      <c r="K931" s="2">
        <v>64484</v>
      </c>
      <c r="L931" t="s">
        <v>22</v>
      </c>
      <c r="M931" s="2">
        <v>0.37</v>
      </c>
      <c r="N931" s="2">
        <v>0.7</v>
      </c>
      <c r="O931" s="2">
        <v>1788.26</v>
      </c>
      <c r="P931" s="2">
        <v>0</v>
      </c>
      <c r="Q931">
        <f t="shared" si="56"/>
        <v>46890</v>
      </c>
      <c r="R931">
        <f t="shared" ca="1" si="57"/>
        <v>60</v>
      </c>
      <c r="S931" s="2">
        <f t="shared" si="58"/>
        <v>-31034.74</v>
      </c>
      <c r="T931" s="18">
        <v>0.1</v>
      </c>
      <c r="U931">
        <f t="shared" si="59"/>
        <v>-34138.214000000007</v>
      </c>
    </row>
    <row r="932" spans="1:21" x14ac:dyDescent="0.3">
      <c r="A932" t="s">
        <v>1906</v>
      </c>
      <c r="B932" s="1">
        <v>45228</v>
      </c>
      <c r="C932" t="s">
        <v>1907</v>
      </c>
      <c r="D932" s="3" t="s">
        <v>25</v>
      </c>
      <c r="E932" s="2">
        <v>24291</v>
      </c>
      <c r="F932" s="2">
        <v>19.8</v>
      </c>
      <c r="G932" s="4">
        <v>36</v>
      </c>
      <c r="H932" t="s">
        <v>60</v>
      </c>
      <c r="I932" t="s">
        <v>57</v>
      </c>
      <c r="J932" t="s">
        <v>32</v>
      </c>
      <c r="K932" s="2">
        <v>128614</v>
      </c>
      <c r="L932" t="s">
        <v>33</v>
      </c>
      <c r="M932" s="2">
        <v>0.11</v>
      </c>
      <c r="N932" s="2">
        <v>0.72</v>
      </c>
      <c r="O932" s="2">
        <v>0</v>
      </c>
      <c r="P932" s="2">
        <v>0</v>
      </c>
      <c r="Q932">
        <f t="shared" si="56"/>
        <v>33737.5</v>
      </c>
      <c r="R932">
        <f t="shared" ca="1" si="57"/>
        <v>28</v>
      </c>
      <c r="S932" s="2">
        <f t="shared" si="58"/>
        <v>-24291</v>
      </c>
      <c r="T932" s="18">
        <v>0.1</v>
      </c>
      <c r="U932">
        <f t="shared" si="59"/>
        <v>-26720.100000000002</v>
      </c>
    </row>
    <row r="933" spans="1:21" x14ac:dyDescent="0.3">
      <c r="A933" t="s">
        <v>1908</v>
      </c>
      <c r="B933" s="1">
        <v>45029</v>
      </c>
      <c r="C933" t="s">
        <v>1909</v>
      </c>
      <c r="D933" s="3" t="s">
        <v>50</v>
      </c>
      <c r="E933" s="2">
        <v>33003</v>
      </c>
      <c r="F933" s="2">
        <v>9.5</v>
      </c>
      <c r="G933" s="4">
        <v>60</v>
      </c>
      <c r="H933" t="s">
        <v>19</v>
      </c>
      <c r="I933" t="s">
        <v>84</v>
      </c>
      <c r="J933" t="s">
        <v>32</v>
      </c>
      <c r="K933" s="2">
        <v>142695</v>
      </c>
      <c r="L933" t="s">
        <v>29</v>
      </c>
      <c r="M933" s="2">
        <v>0.31</v>
      </c>
      <c r="N933" s="2">
        <v>0.6</v>
      </c>
      <c r="O933" s="2">
        <v>36138.28</v>
      </c>
      <c r="P933" s="2">
        <v>0</v>
      </c>
      <c r="Q933">
        <f t="shared" si="56"/>
        <v>55005</v>
      </c>
      <c r="R933">
        <f t="shared" ca="1" si="57"/>
        <v>35</v>
      </c>
      <c r="S933" s="2">
        <f t="shared" si="58"/>
        <v>3135.2799999999988</v>
      </c>
      <c r="T933" s="18">
        <v>0.1</v>
      </c>
      <c r="U933">
        <f t="shared" si="59"/>
        <v>3448.8079999999991</v>
      </c>
    </row>
    <row r="934" spans="1:21" x14ac:dyDescent="0.3">
      <c r="A934" t="s">
        <v>1910</v>
      </c>
      <c r="B934" s="1">
        <v>44509</v>
      </c>
      <c r="C934" t="s">
        <v>1911</v>
      </c>
      <c r="D934" s="3" t="s">
        <v>76</v>
      </c>
      <c r="E934" s="2">
        <v>35406</v>
      </c>
      <c r="F934" s="2">
        <v>17.8</v>
      </c>
      <c r="G934" s="4">
        <v>60</v>
      </c>
      <c r="H934" t="s">
        <v>19</v>
      </c>
      <c r="I934" t="s">
        <v>84</v>
      </c>
      <c r="J934" t="s">
        <v>32</v>
      </c>
      <c r="K934" s="2">
        <v>50922</v>
      </c>
      <c r="L934" t="s">
        <v>22</v>
      </c>
      <c r="M934" s="2">
        <v>0.12</v>
      </c>
      <c r="N934" s="2">
        <v>0.54</v>
      </c>
      <c r="O934" s="2">
        <v>41708.269999999997</v>
      </c>
      <c r="P934" s="2">
        <v>0</v>
      </c>
      <c r="Q934">
        <f t="shared" si="56"/>
        <v>65566.666666666657</v>
      </c>
      <c r="R934">
        <f t="shared" ca="1" si="57"/>
        <v>52</v>
      </c>
      <c r="S934" s="2">
        <f t="shared" si="58"/>
        <v>6302.2699999999968</v>
      </c>
      <c r="T934" s="18">
        <v>0.1</v>
      </c>
      <c r="U934">
        <f t="shared" si="59"/>
        <v>6932.4969999999967</v>
      </c>
    </row>
    <row r="935" spans="1:21" x14ac:dyDescent="0.3">
      <c r="A935" t="s">
        <v>1912</v>
      </c>
      <c r="B935" s="1">
        <v>44955</v>
      </c>
      <c r="C935" t="s">
        <v>1913</v>
      </c>
      <c r="D935" s="3" t="s">
        <v>18</v>
      </c>
      <c r="E935" s="2">
        <v>24312</v>
      </c>
      <c r="F935" s="2">
        <v>16.399999999999999</v>
      </c>
      <c r="G935" s="4">
        <v>36</v>
      </c>
      <c r="H935" t="s">
        <v>81</v>
      </c>
      <c r="I935" t="s">
        <v>84</v>
      </c>
      <c r="J935" t="s">
        <v>28</v>
      </c>
      <c r="K935" s="2">
        <v>64028</v>
      </c>
      <c r="L935" t="s">
        <v>33</v>
      </c>
      <c r="M935" s="2">
        <v>0.42</v>
      </c>
      <c r="N935" s="2">
        <v>0.76</v>
      </c>
      <c r="O935" s="2">
        <v>9266.1200000000008</v>
      </c>
      <c r="P935" s="2">
        <v>2516.62</v>
      </c>
      <c r="Q935">
        <f t="shared" si="56"/>
        <v>31989.473684210527</v>
      </c>
      <c r="R935">
        <f t="shared" ca="1" si="57"/>
        <v>37</v>
      </c>
      <c r="S935" s="2">
        <f t="shared" si="58"/>
        <v>-12529.259999999998</v>
      </c>
      <c r="T935" s="18">
        <v>0.1</v>
      </c>
      <c r="U935">
        <f t="shared" si="59"/>
        <v>-13782.186</v>
      </c>
    </row>
    <row r="936" spans="1:21" x14ac:dyDescent="0.3">
      <c r="A936" t="s">
        <v>1914</v>
      </c>
      <c r="B936" s="1">
        <v>44639</v>
      </c>
      <c r="C936" t="s">
        <v>1915</v>
      </c>
      <c r="D936" s="3" t="s">
        <v>25</v>
      </c>
      <c r="E936" s="2">
        <v>2382</v>
      </c>
      <c r="F936" s="2">
        <v>16.399999999999999</v>
      </c>
      <c r="G936" s="4">
        <v>36</v>
      </c>
      <c r="H936" t="s">
        <v>26</v>
      </c>
      <c r="I936" t="s">
        <v>20</v>
      </c>
      <c r="J936" t="s">
        <v>37</v>
      </c>
      <c r="K936" s="2">
        <v>141461</v>
      </c>
      <c r="L936" t="s">
        <v>29</v>
      </c>
      <c r="M936" s="2">
        <v>0.23</v>
      </c>
      <c r="N936" s="2">
        <v>0.54</v>
      </c>
      <c r="O936" s="2">
        <v>791.85</v>
      </c>
      <c r="P936" s="2">
        <v>0</v>
      </c>
      <c r="Q936">
        <f t="shared" si="56"/>
        <v>4411.1111111111104</v>
      </c>
      <c r="R936">
        <f t="shared" ca="1" si="57"/>
        <v>48</v>
      </c>
      <c r="S936" s="2">
        <f t="shared" si="58"/>
        <v>-1590.15</v>
      </c>
      <c r="T936" s="18">
        <v>0.1</v>
      </c>
      <c r="U936">
        <f t="shared" si="59"/>
        <v>-1749.1650000000002</v>
      </c>
    </row>
    <row r="937" spans="1:21" x14ac:dyDescent="0.3">
      <c r="A937" t="s">
        <v>1916</v>
      </c>
      <c r="B937" s="1">
        <v>44524</v>
      </c>
      <c r="C937" t="s">
        <v>1917</v>
      </c>
      <c r="D937" s="3" t="s">
        <v>56</v>
      </c>
      <c r="E937" s="2">
        <v>35171</v>
      </c>
      <c r="F937" s="2">
        <v>18.3</v>
      </c>
      <c r="G937" s="4">
        <v>60</v>
      </c>
      <c r="H937" t="s">
        <v>19</v>
      </c>
      <c r="I937" t="s">
        <v>41</v>
      </c>
      <c r="J937" t="s">
        <v>21</v>
      </c>
      <c r="K937" s="2">
        <v>50316</v>
      </c>
      <c r="L937" t="s">
        <v>29</v>
      </c>
      <c r="M937" s="2">
        <v>0.32</v>
      </c>
      <c r="N937" s="2">
        <v>0.7</v>
      </c>
      <c r="O937" s="2">
        <v>41607.29</v>
      </c>
      <c r="P937" s="2">
        <v>0</v>
      </c>
      <c r="Q937">
        <f t="shared" si="56"/>
        <v>50244.285714285717</v>
      </c>
      <c r="R937">
        <f t="shared" ca="1" si="57"/>
        <v>51</v>
      </c>
      <c r="S937" s="2">
        <f t="shared" si="58"/>
        <v>6436.2900000000009</v>
      </c>
      <c r="T937" s="18">
        <v>0.1</v>
      </c>
      <c r="U937">
        <f t="shared" si="59"/>
        <v>7079.9190000000017</v>
      </c>
    </row>
    <row r="938" spans="1:21" x14ac:dyDescent="0.3">
      <c r="A938" t="s">
        <v>1918</v>
      </c>
      <c r="B938" s="1">
        <v>45274</v>
      </c>
      <c r="C938" t="s">
        <v>1919</v>
      </c>
      <c r="D938" s="3" t="s">
        <v>72</v>
      </c>
      <c r="E938" s="2">
        <v>4292</v>
      </c>
      <c r="F938" s="2">
        <v>16</v>
      </c>
      <c r="G938" s="4">
        <v>36</v>
      </c>
      <c r="H938" t="s">
        <v>26</v>
      </c>
      <c r="I938" t="s">
        <v>36</v>
      </c>
      <c r="J938" t="s">
        <v>47</v>
      </c>
      <c r="K938" s="2">
        <v>106996</v>
      </c>
      <c r="L938" t="s">
        <v>22</v>
      </c>
      <c r="M938" s="2">
        <v>0.21</v>
      </c>
      <c r="N938" s="2">
        <v>0.92</v>
      </c>
      <c r="O938" s="2">
        <v>836.21</v>
      </c>
      <c r="P938" s="2">
        <v>0</v>
      </c>
      <c r="Q938">
        <f t="shared" si="56"/>
        <v>4665.217391304348</v>
      </c>
      <c r="R938">
        <f t="shared" ca="1" si="57"/>
        <v>27</v>
      </c>
      <c r="S938" s="2">
        <f t="shared" si="58"/>
        <v>-3455.79</v>
      </c>
      <c r="T938" s="18">
        <v>0.1</v>
      </c>
      <c r="U938">
        <f t="shared" si="59"/>
        <v>-3801.3690000000001</v>
      </c>
    </row>
    <row r="939" spans="1:21" x14ac:dyDescent="0.3">
      <c r="A939" t="s">
        <v>1920</v>
      </c>
      <c r="B939" s="1">
        <v>44957</v>
      </c>
      <c r="C939" t="s">
        <v>1921</v>
      </c>
      <c r="D939" s="3" t="s">
        <v>72</v>
      </c>
      <c r="E939" s="2">
        <v>34187</v>
      </c>
      <c r="F939" s="2">
        <v>22.6</v>
      </c>
      <c r="G939" s="4">
        <v>60</v>
      </c>
      <c r="H939" t="s">
        <v>19</v>
      </c>
      <c r="I939" t="s">
        <v>57</v>
      </c>
      <c r="J939" t="s">
        <v>32</v>
      </c>
      <c r="K939" s="2">
        <v>46968</v>
      </c>
      <c r="L939" t="s">
        <v>22</v>
      </c>
      <c r="M939" s="2">
        <v>0.41</v>
      </c>
      <c r="N939" s="2">
        <v>0.93</v>
      </c>
      <c r="O939" s="2">
        <v>41913.26</v>
      </c>
      <c r="P939" s="2">
        <v>0</v>
      </c>
      <c r="Q939">
        <f t="shared" si="56"/>
        <v>36760.215053763437</v>
      </c>
      <c r="R939">
        <f t="shared" ca="1" si="57"/>
        <v>37</v>
      </c>
      <c r="S939" s="2">
        <f t="shared" si="58"/>
        <v>7726.260000000002</v>
      </c>
      <c r="T939" s="18">
        <v>0.1</v>
      </c>
      <c r="U939">
        <f t="shared" si="59"/>
        <v>8498.8860000000022</v>
      </c>
    </row>
    <row r="940" spans="1:21" x14ac:dyDescent="0.3">
      <c r="A940" t="s">
        <v>1922</v>
      </c>
      <c r="B940" s="1">
        <v>44775</v>
      </c>
      <c r="C940" t="s">
        <v>1923</v>
      </c>
      <c r="D940" s="3" t="s">
        <v>25</v>
      </c>
      <c r="E940" s="2">
        <v>13411</v>
      </c>
      <c r="F940" s="2">
        <v>18.5</v>
      </c>
      <c r="G940" s="4">
        <v>36</v>
      </c>
      <c r="H940" t="s">
        <v>81</v>
      </c>
      <c r="I940" t="s">
        <v>20</v>
      </c>
      <c r="J940" t="s">
        <v>32</v>
      </c>
      <c r="K940" s="2">
        <v>60266</v>
      </c>
      <c r="L940" t="s">
        <v>33</v>
      </c>
      <c r="M940" s="2">
        <v>0.45</v>
      </c>
      <c r="N940" s="2">
        <v>0.61</v>
      </c>
      <c r="O940" s="2">
        <v>2332.75</v>
      </c>
      <c r="P940" s="2">
        <v>2064.9299999999998</v>
      </c>
      <c r="Q940">
        <f t="shared" si="56"/>
        <v>21985.245901639344</v>
      </c>
      <c r="R940">
        <f t="shared" ca="1" si="57"/>
        <v>43</v>
      </c>
      <c r="S940" s="2">
        <f t="shared" si="58"/>
        <v>-9013.32</v>
      </c>
      <c r="T940" s="18">
        <v>0.1</v>
      </c>
      <c r="U940">
        <f t="shared" si="59"/>
        <v>-9914.652</v>
      </c>
    </row>
    <row r="941" spans="1:21" x14ac:dyDescent="0.3">
      <c r="A941" t="s">
        <v>1924</v>
      </c>
      <c r="B941" s="1">
        <v>45271</v>
      </c>
      <c r="C941" t="s">
        <v>1925</v>
      </c>
      <c r="D941" s="3" t="s">
        <v>72</v>
      </c>
      <c r="E941" s="2">
        <v>38285</v>
      </c>
      <c r="F941" s="2">
        <v>15.9</v>
      </c>
      <c r="G941" s="4">
        <v>60</v>
      </c>
      <c r="H941" t="s">
        <v>19</v>
      </c>
      <c r="I941" t="s">
        <v>20</v>
      </c>
      <c r="J941" t="s">
        <v>47</v>
      </c>
      <c r="K941" s="2">
        <v>125745</v>
      </c>
      <c r="L941" t="s">
        <v>22</v>
      </c>
      <c r="M941" s="2">
        <v>0.26</v>
      </c>
      <c r="N941" s="2">
        <v>0.78</v>
      </c>
      <c r="O941" s="2">
        <v>44372.32</v>
      </c>
      <c r="P941" s="2">
        <v>0</v>
      </c>
      <c r="Q941">
        <f t="shared" si="56"/>
        <v>49083.333333333328</v>
      </c>
      <c r="R941">
        <f t="shared" ca="1" si="57"/>
        <v>27</v>
      </c>
      <c r="S941" s="2">
        <f t="shared" si="58"/>
        <v>6087.32</v>
      </c>
      <c r="T941" s="18">
        <v>0.1</v>
      </c>
      <c r="U941">
        <f t="shared" si="59"/>
        <v>6696.0520000000006</v>
      </c>
    </row>
    <row r="942" spans="1:21" x14ac:dyDescent="0.3">
      <c r="A942" t="s">
        <v>1926</v>
      </c>
      <c r="B942" s="1">
        <v>45203</v>
      </c>
      <c r="C942" t="s">
        <v>1927</v>
      </c>
      <c r="D942" s="3" t="s">
        <v>56</v>
      </c>
      <c r="E942" s="2">
        <v>16422</v>
      </c>
      <c r="F942" s="2">
        <v>21.6</v>
      </c>
      <c r="G942" s="4">
        <v>36</v>
      </c>
      <c r="H942" t="s">
        <v>19</v>
      </c>
      <c r="I942" t="s">
        <v>41</v>
      </c>
      <c r="J942" t="s">
        <v>47</v>
      </c>
      <c r="K942" s="2">
        <v>54000</v>
      </c>
      <c r="L942" t="s">
        <v>33</v>
      </c>
      <c r="M942" s="2">
        <v>0.45</v>
      </c>
      <c r="N942" s="2">
        <v>0.71</v>
      </c>
      <c r="O942" s="2">
        <v>19969.150000000001</v>
      </c>
      <c r="P942" s="2">
        <v>0</v>
      </c>
      <c r="Q942">
        <f t="shared" si="56"/>
        <v>23129.577464788734</v>
      </c>
      <c r="R942">
        <f t="shared" ca="1" si="57"/>
        <v>29</v>
      </c>
      <c r="S942" s="2">
        <f t="shared" si="58"/>
        <v>3547.1500000000015</v>
      </c>
      <c r="T942" s="18">
        <v>0.1</v>
      </c>
      <c r="U942">
        <f t="shared" si="59"/>
        <v>3901.8650000000021</v>
      </c>
    </row>
    <row r="943" spans="1:21" x14ac:dyDescent="0.3">
      <c r="A943" t="s">
        <v>1928</v>
      </c>
      <c r="B943" s="1">
        <v>44292</v>
      </c>
      <c r="C943" t="s">
        <v>1929</v>
      </c>
      <c r="D943" s="3" t="s">
        <v>25</v>
      </c>
      <c r="E943" s="2">
        <v>33371</v>
      </c>
      <c r="F943" s="2">
        <v>17.100000000000001</v>
      </c>
      <c r="G943" s="4">
        <v>36</v>
      </c>
      <c r="H943" t="s">
        <v>26</v>
      </c>
      <c r="I943" t="s">
        <v>73</v>
      </c>
      <c r="J943" t="s">
        <v>28</v>
      </c>
      <c r="K943" s="2">
        <v>44011</v>
      </c>
      <c r="L943" t="s">
        <v>29</v>
      </c>
      <c r="M943" s="2">
        <v>0.21</v>
      </c>
      <c r="N943" s="2">
        <v>0.89</v>
      </c>
      <c r="O943" s="2">
        <v>1803.79</v>
      </c>
      <c r="P943" s="2">
        <v>0</v>
      </c>
      <c r="Q943">
        <f t="shared" si="56"/>
        <v>37495.505617977527</v>
      </c>
      <c r="R943">
        <f t="shared" ca="1" si="57"/>
        <v>59</v>
      </c>
      <c r="S943" s="2">
        <f t="shared" si="58"/>
        <v>-31567.21</v>
      </c>
      <c r="T943" s="18">
        <v>0.1</v>
      </c>
      <c r="U943">
        <f t="shared" si="59"/>
        <v>-34723.931000000004</v>
      </c>
    </row>
    <row r="944" spans="1:21" x14ac:dyDescent="0.3">
      <c r="A944" t="s">
        <v>1930</v>
      </c>
      <c r="B944" s="1">
        <v>45010</v>
      </c>
      <c r="C944" t="s">
        <v>1931</v>
      </c>
      <c r="D944" s="3" t="s">
        <v>56</v>
      </c>
      <c r="E944" s="2">
        <v>6693</v>
      </c>
      <c r="F944" s="2">
        <v>10.8</v>
      </c>
      <c r="G944" s="4">
        <v>60</v>
      </c>
      <c r="H944" t="s">
        <v>19</v>
      </c>
      <c r="I944" t="s">
        <v>57</v>
      </c>
      <c r="J944" t="s">
        <v>21</v>
      </c>
      <c r="K944" s="2">
        <v>32866</v>
      </c>
      <c r="L944" t="s">
        <v>29</v>
      </c>
      <c r="M944" s="2">
        <v>0.31</v>
      </c>
      <c r="N944" s="2">
        <v>0.62</v>
      </c>
      <c r="O944" s="2">
        <v>7415.84</v>
      </c>
      <c r="P944" s="2">
        <v>0</v>
      </c>
      <c r="Q944">
        <f t="shared" si="56"/>
        <v>10795.161290322581</v>
      </c>
      <c r="R944">
        <f t="shared" ca="1" si="57"/>
        <v>35</v>
      </c>
      <c r="S944" s="2">
        <f t="shared" si="58"/>
        <v>722.84000000000015</v>
      </c>
      <c r="T944" s="18">
        <v>0.1</v>
      </c>
      <c r="U944">
        <f t="shared" si="59"/>
        <v>795.12400000000025</v>
      </c>
    </row>
    <row r="945" spans="1:21" x14ac:dyDescent="0.3">
      <c r="A945" t="s">
        <v>1932</v>
      </c>
      <c r="B945" s="1">
        <v>44687</v>
      </c>
      <c r="C945" t="s">
        <v>1933</v>
      </c>
      <c r="D945" s="3" t="s">
        <v>18</v>
      </c>
      <c r="E945" s="2">
        <v>34535</v>
      </c>
      <c r="F945" s="2">
        <v>9.1</v>
      </c>
      <c r="G945" s="4">
        <v>36</v>
      </c>
      <c r="H945" t="s">
        <v>19</v>
      </c>
      <c r="I945" t="s">
        <v>57</v>
      </c>
      <c r="J945" t="s">
        <v>32</v>
      </c>
      <c r="K945" s="2">
        <v>142669</v>
      </c>
      <c r="L945" t="s">
        <v>29</v>
      </c>
      <c r="M945" s="2">
        <v>0.44</v>
      </c>
      <c r="N945" s="2">
        <v>0.5</v>
      </c>
      <c r="O945" s="2">
        <v>37677.68</v>
      </c>
      <c r="P945" s="2">
        <v>0</v>
      </c>
      <c r="Q945">
        <f t="shared" si="56"/>
        <v>69070</v>
      </c>
      <c r="R945">
        <f t="shared" ca="1" si="57"/>
        <v>46</v>
      </c>
      <c r="S945" s="2">
        <f t="shared" si="58"/>
        <v>3142.6800000000003</v>
      </c>
      <c r="T945" s="18">
        <v>0.1</v>
      </c>
      <c r="U945">
        <f t="shared" si="59"/>
        <v>3456.9480000000008</v>
      </c>
    </row>
    <row r="946" spans="1:21" x14ac:dyDescent="0.3">
      <c r="A946" t="s">
        <v>1934</v>
      </c>
      <c r="B946" s="1">
        <v>44648</v>
      </c>
      <c r="C946" t="s">
        <v>1935</v>
      </c>
      <c r="D946" s="3" t="s">
        <v>50</v>
      </c>
      <c r="E946" s="2">
        <v>15818</v>
      </c>
      <c r="F946" s="2">
        <v>8</v>
      </c>
      <c r="G946" s="4">
        <v>36</v>
      </c>
      <c r="H946" t="s">
        <v>26</v>
      </c>
      <c r="I946" t="s">
        <v>57</v>
      </c>
      <c r="J946" t="s">
        <v>37</v>
      </c>
      <c r="K946" s="2">
        <v>35898</v>
      </c>
      <c r="L946" t="s">
        <v>29</v>
      </c>
      <c r="M946" s="2">
        <v>0.23</v>
      </c>
      <c r="N946" s="2">
        <v>0.56999999999999995</v>
      </c>
      <c r="O946" s="2">
        <v>2467.0100000000002</v>
      </c>
      <c r="P946" s="2">
        <v>0</v>
      </c>
      <c r="Q946">
        <f t="shared" si="56"/>
        <v>27750.877192982458</v>
      </c>
      <c r="R946">
        <f t="shared" ca="1" si="57"/>
        <v>47</v>
      </c>
      <c r="S946" s="2">
        <f t="shared" si="58"/>
        <v>-13350.99</v>
      </c>
      <c r="T946" s="18">
        <v>0.1</v>
      </c>
      <c r="U946">
        <f t="shared" si="59"/>
        <v>-14686.089000000002</v>
      </c>
    </row>
    <row r="947" spans="1:21" x14ac:dyDescent="0.3">
      <c r="A947" t="s">
        <v>1936</v>
      </c>
      <c r="B947" s="1">
        <v>44361</v>
      </c>
      <c r="C947" t="s">
        <v>1937</v>
      </c>
      <c r="D947" s="3" t="s">
        <v>46</v>
      </c>
      <c r="E947" s="2">
        <v>32238</v>
      </c>
      <c r="F947" s="2">
        <v>23</v>
      </c>
      <c r="G947" s="4">
        <v>60</v>
      </c>
      <c r="H947" t="s">
        <v>26</v>
      </c>
      <c r="I947" t="s">
        <v>27</v>
      </c>
      <c r="J947" t="s">
        <v>28</v>
      </c>
      <c r="K947" s="2">
        <v>48395</v>
      </c>
      <c r="L947" t="s">
        <v>22</v>
      </c>
      <c r="M947" s="2">
        <v>0.48</v>
      </c>
      <c r="N947" s="2">
        <v>0.66</v>
      </c>
      <c r="O947" s="2">
        <v>3609.94</v>
      </c>
      <c r="P947" s="2">
        <v>0</v>
      </c>
      <c r="Q947">
        <f t="shared" si="56"/>
        <v>48845.454545454544</v>
      </c>
      <c r="R947">
        <f t="shared" ca="1" si="57"/>
        <v>57</v>
      </c>
      <c r="S947" s="2">
        <f t="shared" si="58"/>
        <v>-28628.06</v>
      </c>
      <c r="T947" s="18">
        <v>0.1</v>
      </c>
      <c r="U947">
        <f t="shared" si="59"/>
        <v>-31490.866000000005</v>
      </c>
    </row>
    <row r="948" spans="1:21" x14ac:dyDescent="0.3">
      <c r="A948" t="s">
        <v>1938</v>
      </c>
      <c r="B948" s="1">
        <v>44378</v>
      </c>
      <c r="C948" t="s">
        <v>1939</v>
      </c>
      <c r="D948" s="3" t="s">
        <v>18</v>
      </c>
      <c r="E948" s="2">
        <v>31874</v>
      </c>
      <c r="F948" s="2">
        <v>19.2</v>
      </c>
      <c r="G948" s="4">
        <v>36</v>
      </c>
      <c r="H948" t="s">
        <v>19</v>
      </c>
      <c r="I948" t="s">
        <v>57</v>
      </c>
      <c r="J948" t="s">
        <v>28</v>
      </c>
      <c r="K948" s="2">
        <v>69019</v>
      </c>
      <c r="L948" t="s">
        <v>22</v>
      </c>
      <c r="M948" s="2">
        <v>0.15</v>
      </c>
      <c r="N948" s="2">
        <v>0.64</v>
      </c>
      <c r="O948" s="2">
        <v>37993.81</v>
      </c>
      <c r="P948" s="2">
        <v>0</v>
      </c>
      <c r="Q948">
        <f t="shared" si="56"/>
        <v>49803.125</v>
      </c>
      <c r="R948">
        <f t="shared" ca="1" si="57"/>
        <v>56</v>
      </c>
      <c r="S948" s="2">
        <f t="shared" si="58"/>
        <v>6119.8099999999977</v>
      </c>
      <c r="T948" s="18">
        <v>0.1</v>
      </c>
      <c r="U948">
        <f t="shared" si="59"/>
        <v>6731.7909999999983</v>
      </c>
    </row>
    <row r="949" spans="1:21" x14ac:dyDescent="0.3">
      <c r="A949" t="s">
        <v>1940</v>
      </c>
      <c r="B949" s="1">
        <v>44665</v>
      </c>
      <c r="C949" t="s">
        <v>1941</v>
      </c>
      <c r="D949" s="3" t="s">
        <v>18</v>
      </c>
      <c r="E949" s="2">
        <v>27715</v>
      </c>
      <c r="F949" s="2">
        <v>23.7</v>
      </c>
      <c r="G949" s="4">
        <v>36</v>
      </c>
      <c r="H949" t="s">
        <v>26</v>
      </c>
      <c r="I949" t="s">
        <v>41</v>
      </c>
      <c r="J949" t="s">
        <v>37</v>
      </c>
      <c r="K949" s="2">
        <v>133243</v>
      </c>
      <c r="L949" t="s">
        <v>33</v>
      </c>
      <c r="M949" s="2">
        <v>0.11</v>
      </c>
      <c r="N949" s="2">
        <v>0.86</v>
      </c>
      <c r="O949" s="2">
        <v>9020.5300000000007</v>
      </c>
      <c r="P949" s="2">
        <v>0</v>
      </c>
      <c r="Q949">
        <f t="shared" si="56"/>
        <v>32226.744186046511</v>
      </c>
      <c r="R949">
        <f t="shared" ca="1" si="57"/>
        <v>47</v>
      </c>
      <c r="S949" s="2">
        <f t="shared" si="58"/>
        <v>-18694.47</v>
      </c>
      <c r="T949" s="18">
        <v>0.1</v>
      </c>
      <c r="U949">
        <f t="shared" si="59"/>
        <v>-20563.917000000001</v>
      </c>
    </row>
    <row r="950" spans="1:21" x14ac:dyDescent="0.3">
      <c r="A950" t="s">
        <v>1942</v>
      </c>
      <c r="B950" s="1">
        <v>45106</v>
      </c>
      <c r="C950" t="s">
        <v>1943</v>
      </c>
      <c r="D950" s="3" t="s">
        <v>72</v>
      </c>
      <c r="E950" s="2">
        <v>28605</v>
      </c>
      <c r="F950" s="2">
        <v>17.100000000000001</v>
      </c>
      <c r="G950" s="4">
        <v>36</v>
      </c>
      <c r="H950" t="s">
        <v>19</v>
      </c>
      <c r="I950" t="s">
        <v>27</v>
      </c>
      <c r="J950" t="s">
        <v>37</v>
      </c>
      <c r="K950" s="2">
        <v>34006</v>
      </c>
      <c r="L950" t="s">
        <v>33</v>
      </c>
      <c r="M950" s="2">
        <v>0.46</v>
      </c>
      <c r="N950" s="2">
        <v>0.81</v>
      </c>
      <c r="O950" s="2">
        <v>33496.46</v>
      </c>
      <c r="P950" s="2">
        <v>0</v>
      </c>
      <c r="Q950">
        <f t="shared" si="56"/>
        <v>35314.81481481481</v>
      </c>
      <c r="R950">
        <f t="shared" ca="1" si="57"/>
        <v>32</v>
      </c>
      <c r="S950" s="2">
        <f t="shared" si="58"/>
        <v>4891.4599999999991</v>
      </c>
      <c r="T950" s="18">
        <v>0.1</v>
      </c>
      <c r="U950">
        <f t="shared" si="59"/>
        <v>5380.6059999999998</v>
      </c>
    </row>
    <row r="951" spans="1:21" x14ac:dyDescent="0.3">
      <c r="A951" t="s">
        <v>1944</v>
      </c>
      <c r="B951" s="1">
        <v>44931</v>
      </c>
      <c r="C951" t="s">
        <v>1945</v>
      </c>
      <c r="D951" s="3" t="s">
        <v>65</v>
      </c>
      <c r="E951" s="2">
        <v>35317</v>
      </c>
      <c r="F951" s="2">
        <v>14.5</v>
      </c>
      <c r="G951" s="4">
        <v>60</v>
      </c>
      <c r="H951" t="s">
        <v>19</v>
      </c>
      <c r="I951" t="s">
        <v>84</v>
      </c>
      <c r="J951" t="s">
        <v>37</v>
      </c>
      <c r="K951" s="2">
        <v>64393</v>
      </c>
      <c r="L951" t="s">
        <v>33</v>
      </c>
      <c r="M951" s="2">
        <v>0.13</v>
      </c>
      <c r="N951" s="2">
        <v>0.63</v>
      </c>
      <c r="O951" s="2">
        <v>40437.97</v>
      </c>
      <c r="P951" s="2">
        <v>0</v>
      </c>
      <c r="Q951">
        <f t="shared" si="56"/>
        <v>56058.730158730155</v>
      </c>
      <c r="R951">
        <f t="shared" ca="1" si="57"/>
        <v>38</v>
      </c>
      <c r="S951" s="2">
        <f t="shared" si="58"/>
        <v>5120.9700000000012</v>
      </c>
      <c r="T951" s="18">
        <v>0.1</v>
      </c>
      <c r="U951">
        <f t="shared" si="59"/>
        <v>5633.0670000000018</v>
      </c>
    </row>
    <row r="952" spans="1:21" x14ac:dyDescent="0.3">
      <c r="A952" t="s">
        <v>1946</v>
      </c>
      <c r="B952" s="1">
        <v>45019</v>
      </c>
      <c r="C952" t="s">
        <v>1947</v>
      </c>
      <c r="D952" s="3" t="s">
        <v>53</v>
      </c>
      <c r="E952" s="2">
        <v>32174</v>
      </c>
      <c r="F952" s="2">
        <v>6.2</v>
      </c>
      <c r="G952" s="4">
        <v>60</v>
      </c>
      <c r="H952" t="s">
        <v>19</v>
      </c>
      <c r="I952" t="s">
        <v>57</v>
      </c>
      <c r="J952" t="s">
        <v>47</v>
      </c>
      <c r="K952" s="2">
        <v>40956</v>
      </c>
      <c r="L952" t="s">
        <v>33</v>
      </c>
      <c r="M952" s="2">
        <v>0.5</v>
      </c>
      <c r="N952" s="2">
        <v>0.71</v>
      </c>
      <c r="O952" s="2">
        <v>34168.79</v>
      </c>
      <c r="P952" s="2">
        <v>0</v>
      </c>
      <c r="Q952">
        <f t="shared" si="56"/>
        <v>45315.492957746479</v>
      </c>
      <c r="R952">
        <f t="shared" ca="1" si="57"/>
        <v>35</v>
      </c>
      <c r="S952" s="2">
        <f t="shared" si="58"/>
        <v>1994.7900000000009</v>
      </c>
      <c r="T952" s="18">
        <v>0.1</v>
      </c>
      <c r="U952">
        <f t="shared" si="59"/>
        <v>2194.2690000000011</v>
      </c>
    </row>
    <row r="953" spans="1:21" x14ac:dyDescent="0.3">
      <c r="A953" t="s">
        <v>1948</v>
      </c>
      <c r="B953" s="1">
        <v>45140</v>
      </c>
      <c r="C953" t="s">
        <v>1949</v>
      </c>
      <c r="D953" s="3" t="s">
        <v>72</v>
      </c>
      <c r="E953" s="2">
        <v>10956</v>
      </c>
      <c r="F953" s="2">
        <v>18.399999999999999</v>
      </c>
      <c r="G953" s="4">
        <v>60</v>
      </c>
      <c r="H953" t="s">
        <v>19</v>
      </c>
      <c r="I953" t="s">
        <v>20</v>
      </c>
      <c r="J953" t="s">
        <v>32</v>
      </c>
      <c r="K953" s="2">
        <v>80042</v>
      </c>
      <c r="L953" t="s">
        <v>33</v>
      </c>
      <c r="M953" s="2">
        <v>0.48</v>
      </c>
      <c r="N953" s="2">
        <v>0.54</v>
      </c>
      <c r="O953" s="2">
        <v>12971.9</v>
      </c>
      <c r="P953" s="2">
        <v>0</v>
      </c>
      <c r="Q953">
        <f t="shared" si="56"/>
        <v>20288.888888888887</v>
      </c>
      <c r="R953">
        <f t="shared" ca="1" si="57"/>
        <v>31</v>
      </c>
      <c r="S953" s="2">
        <f t="shared" si="58"/>
        <v>2015.8999999999996</v>
      </c>
      <c r="T953" s="18">
        <v>0.1</v>
      </c>
      <c r="U953">
        <f t="shared" si="59"/>
        <v>2217.4899999999998</v>
      </c>
    </row>
    <row r="954" spans="1:21" x14ac:dyDescent="0.3">
      <c r="A954" t="s">
        <v>1950</v>
      </c>
      <c r="B954" s="1">
        <v>44203</v>
      </c>
      <c r="C954" t="s">
        <v>1951</v>
      </c>
      <c r="D954" s="3" t="s">
        <v>65</v>
      </c>
      <c r="E954" s="2">
        <v>39908</v>
      </c>
      <c r="F954" s="2">
        <v>16.600000000000001</v>
      </c>
      <c r="G954" s="4">
        <v>36</v>
      </c>
      <c r="H954" t="s">
        <v>26</v>
      </c>
      <c r="I954" t="s">
        <v>73</v>
      </c>
      <c r="J954" t="s">
        <v>47</v>
      </c>
      <c r="K954" s="2">
        <v>126199</v>
      </c>
      <c r="L954" t="s">
        <v>29</v>
      </c>
      <c r="M954" s="2">
        <v>0.15</v>
      </c>
      <c r="N954" s="2">
        <v>0.9</v>
      </c>
      <c r="O954" s="2">
        <v>4986.33</v>
      </c>
      <c r="P954" s="2">
        <v>0</v>
      </c>
      <c r="Q954">
        <f t="shared" si="56"/>
        <v>44342.222222222219</v>
      </c>
      <c r="R954">
        <f t="shared" ca="1" si="57"/>
        <v>62</v>
      </c>
      <c r="S954" s="2">
        <f t="shared" si="58"/>
        <v>-34921.67</v>
      </c>
      <c r="T954" s="18">
        <v>0.1</v>
      </c>
      <c r="U954">
        <f t="shared" si="59"/>
        <v>-38413.837</v>
      </c>
    </row>
    <row r="955" spans="1:21" x14ac:dyDescent="0.3">
      <c r="A955" t="s">
        <v>1952</v>
      </c>
      <c r="B955" s="1">
        <v>44526</v>
      </c>
      <c r="C955" t="s">
        <v>1953</v>
      </c>
      <c r="D955" s="3" t="s">
        <v>56</v>
      </c>
      <c r="E955" s="2">
        <v>11837</v>
      </c>
      <c r="F955" s="2">
        <v>24.8</v>
      </c>
      <c r="G955" s="4">
        <v>36</v>
      </c>
      <c r="H955" t="s">
        <v>19</v>
      </c>
      <c r="I955" t="s">
        <v>57</v>
      </c>
      <c r="J955" t="s">
        <v>32</v>
      </c>
      <c r="K955" s="2">
        <v>36078</v>
      </c>
      <c r="L955" t="s">
        <v>29</v>
      </c>
      <c r="M955" s="2">
        <v>0.32</v>
      </c>
      <c r="N955" s="2">
        <v>0.92</v>
      </c>
      <c r="O955" s="2">
        <v>14772.58</v>
      </c>
      <c r="P955" s="2">
        <v>0</v>
      </c>
      <c r="Q955">
        <f t="shared" si="56"/>
        <v>12866.304347826086</v>
      </c>
      <c r="R955">
        <f t="shared" ca="1" si="57"/>
        <v>51</v>
      </c>
      <c r="S955" s="2">
        <f t="shared" si="58"/>
        <v>2935.58</v>
      </c>
      <c r="T955" s="18">
        <v>0.1</v>
      </c>
      <c r="U955">
        <f t="shared" si="59"/>
        <v>3229.1380000000004</v>
      </c>
    </row>
    <row r="956" spans="1:21" x14ac:dyDescent="0.3">
      <c r="A956" t="s">
        <v>1954</v>
      </c>
      <c r="B956" s="1">
        <v>44971</v>
      </c>
      <c r="C956" t="s">
        <v>1955</v>
      </c>
      <c r="D956" s="3" t="s">
        <v>53</v>
      </c>
      <c r="E956" s="2">
        <v>4716</v>
      </c>
      <c r="F956" s="2">
        <v>9.8000000000000007</v>
      </c>
      <c r="G956" s="4">
        <v>36</v>
      </c>
      <c r="H956" t="s">
        <v>26</v>
      </c>
      <c r="I956" t="s">
        <v>20</v>
      </c>
      <c r="J956" t="s">
        <v>47</v>
      </c>
      <c r="K956" s="2">
        <v>59631</v>
      </c>
      <c r="L956" t="s">
        <v>29</v>
      </c>
      <c r="M956" s="2">
        <v>0.17</v>
      </c>
      <c r="N956" s="2">
        <v>0.94</v>
      </c>
      <c r="O956" s="2">
        <v>1357.66</v>
      </c>
      <c r="P956" s="2">
        <v>0</v>
      </c>
      <c r="Q956">
        <f t="shared" si="56"/>
        <v>5017.0212765957449</v>
      </c>
      <c r="R956">
        <f t="shared" ca="1" si="57"/>
        <v>37</v>
      </c>
      <c r="S956" s="2">
        <f t="shared" si="58"/>
        <v>-3358.34</v>
      </c>
      <c r="T956" s="18">
        <v>0.1</v>
      </c>
      <c r="U956">
        <f t="shared" si="59"/>
        <v>-3694.1740000000004</v>
      </c>
    </row>
    <row r="957" spans="1:21" x14ac:dyDescent="0.3">
      <c r="A957" t="s">
        <v>1956</v>
      </c>
      <c r="B957" s="1">
        <v>44347</v>
      </c>
      <c r="C957" t="s">
        <v>1957</v>
      </c>
      <c r="D957" s="3" t="s">
        <v>72</v>
      </c>
      <c r="E957" s="2">
        <v>5481</v>
      </c>
      <c r="F957" s="2">
        <v>15.6</v>
      </c>
      <c r="G957" s="4">
        <v>36</v>
      </c>
      <c r="H957" t="s">
        <v>19</v>
      </c>
      <c r="I957" t="s">
        <v>36</v>
      </c>
      <c r="J957" t="s">
        <v>21</v>
      </c>
      <c r="K957" s="2">
        <v>125676</v>
      </c>
      <c r="L957" t="s">
        <v>33</v>
      </c>
      <c r="M957" s="2">
        <v>0.27</v>
      </c>
      <c r="N957" s="2">
        <v>0.89</v>
      </c>
      <c r="O957" s="2">
        <v>6336.04</v>
      </c>
      <c r="P957" s="2">
        <v>0</v>
      </c>
      <c r="Q957">
        <f t="shared" si="56"/>
        <v>6158.4269662921351</v>
      </c>
      <c r="R957">
        <f t="shared" ca="1" si="57"/>
        <v>57</v>
      </c>
      <c r="S957" s="2">
        <f t="shared" si="58"/>
        <v>855.04</v>
      </c>
      <c r="T957" s="18">
        <v>0.1</v>
      </c>
      <c r="U957">
        <f t="shared" si="59"/>
        <v>940.54399999999998</v>
      </c>
    </row>
    <row r="958" spans="1:21" x14ac:dyDescent="0.3">
      <c r="A958" t="s">
        <v>1958</v>
      </c>
      <c r="B958" s="1">
        <v>44343</v>
      </c>
      <c r="C958" t="s">
        <v>1959</v>
      </c>
      <c r="D958" s="3" t="s">
        <v>53</v>
      </c>
      <c r="E958" s="2">
        <v>25282</v>
      </c>
      <c r="F958" s="2">
        <v>18</v>
      </c>
      <c r="G958" s="4">
        <v>60</v>
      </c>
      <c r="H958" t="s">
        <v>60</v>
      </c>
      <c r="I958" t="s">
        <v>57</v>
      </c>
      <c r="J958" t="s">
        <v>32</v>
      </c>
      <c r="K958" s="2">
        <v>92901</v>
      </c>
      <c r="L958" t="s">
        <v>29</v>
      </c>
      <c r="M958" s="2">
        <v>0.12</v>
      </c>
      <c r="N958" s="2">
        <v>0.57999999999999996</v>
      </c>
      <c r="O958" s="2">
        <v>0</v>
      </c>
      <c r="P958" s="2">
        <v>0</v>
      </c>
      <c r="Q958">
        <f t="shared" si="56"/>
        <v>43589.655172413797</v>
      </c>
      <c r="R958">
        <f t="shared" ca="1" si="57"/>
        <v>57</v>
      </c>
      <c r="S958" s="2">
        <f t="shared" si="58"/>
        <v>-25282</v>
      </c>
      <c r="T958" s="18">
        <v>0.1</v>
      </c>
      <c r="U958">
        <f t="shared" si="59"/>
        <v>-27810.2</v>
      </c>
    </row>
    <row r="959" spans="1:21" x14ac:dyDescent="0.3">
      <c r="A959" t="s">
        <v>1960</v>
      </c>
      <c r="B959" s="1">
        <v>45111</v>
      </c>
      <c r="C959" t="s">
        <v>1961</v>
      </c>
      <c r="D959" s="3" t="s">
        <v>53</v>
      </c>
      <c r="E959" s="2">
        <v>7548</v>
      </c>
      <c r="F959" s="2">
        <v>17.899999999999999</v>
      </c>
      <c r="G959" s="4">
        <v>36</v>
      </c>
      <c r="H959" t="s">
        <v>26</v>
      </c>
      <c r="I959" t="s">
        <v>20</v>
      </c>
      <c r="J959" t="s">
        <v>28</v>
      </c>
      <c r="K959" s="2">
        <v>137227</v>
      </c>
      <c r="L959" t="s">
        <v>29</v>
      </c>
      <c r="M959" s="2">
        <v>0.19</v>
      </c>
      <c r="N959" s="2">
        <v>0.52</v>
      </c>
      <c r="O959" s="2">
        <v>2381.79</v>
      </c>
      <c r="P959" s="2">
        <v>0</v>
      </c>
      <c r="Q959">
        <f t="shared" si="56"/>
        <v>14515.384615384615</v>
      </c>
      <c r="R959">
        <f t="shared" ca="1" si="57"/>
        <v>32</v>
      </c>
      <c r="S959" s="2">
        <f t="shared" si="58"/>
        <v>-5166.21</v>
      </c>
      <c r="T959" s="18">
        <v>0.1</v>
      </c>
      <c r="U959">
        <f t="shared" si="59"/>
        <v>-5682.8310000000001</v>
      </c>
    </row>
    <row r="960" spans="1:21" x14ac:dyDescent="0.3">
      <c r="A960" t="s">
        <v>1962</v>
      </c>
      <c r="B960" s="1">
        <v>44896</v>
      </c>
      <c r="C960" t="s">
        <v>1963</v>
      </c>
      <c r="D960" s="3" t="s">
        <v>40</v>
      </c>
      <c r="E960" s="2">
        <v>38605</v>
      </c>
      <c r="F960" s="2">
        <v>16.2</v>
      </c>
      <c r="G960" s="4">
        <v>36</v>
      </c>
      <c r="H960" t="s">
        <v>26</v>
      </c>
      <c r="I960" t="s">
        <v>20</v>
      </c>
      <c r="J960" t="s">
        <v>32</v>
      </c>
      <c r="K960" s="2">
        <v>99497</v>
      </c>
      <c r="L960" t="s">
        <v>29</v>
      </c>
      <c r="M960" s="2">
        <v>0.25</v>
      </c>
      <c r="N960" s="2">
        <v>0.76</v>
      </c>
      <c r="O960" s="2">
        <v>7107.9</v>
      </c>
      <c r="P960" s="2">
        <v>0</v>
      </c>
      <c r="Q960">
        <f t="shared" si="56"/>
        <v>50796.052631578947</v>
      </c>
      <c r="R960">
        <f t="shared" ca="1" si="57"/>
        <v>39</v>
      </c>
      <c r="S960" s="2">
        <f t="shared" si="58"/>
        <v>-31497.1</v>
      </c>
      <c r="T960" s="18">
        <v>0.1</v>
      </c>
      <c r="U960">
        <f t="shared" si="59"/>
        <v>-34646.81</v>
      </c>
    </row>
    <row r="961" spans="1:21" x14ac:dyDescent="0.3">
      <c r="A961" t="s">
        <v>1964</v>
      </c>
      <c r="B961" s="1">
        <v>44278</v>
      </c>
      <c r="C961" t="s">
        <v>1965</v>
      </c>
      <c r="D961" s="3" t="s">
        <v>50</v>
      </c>
      <c r="E961" s="2">
        <v>8758</v>
      </c>
      <c r="F961" s="2">
        <v>20.5</v>
      </c>
      <c r="G961" s="4">
        <v>36</v>
      </c>
      <c r="H961" t="s">
        <v>19</v>
      </c>
      <c r="I961" t="s">
        <v>57</v>
      </c>
      <c r="J961" t="s">
        <v>32</v>
      </c>
      <c r="K961" s="2">
        <v>124813</v>
      </c>
      <c r="L961" t="s">
        <v>29</v>
      </c>
      <c r="M961" s="2">
        <v>0.28000000000000003</v>
      </c>
      <c r="N961" s="2">
        <v>0.91</v>
      </c>
      <c r="O961" s="2">
        <v>10553.39</v>
      </c>
      <c r="P961" s="2">
        <v>0</v>
      </c>
      <c r="Q961">
        <f t="shared" si="56"/>
        <v>9624.1758241758234</v>
      </c>
      <c r="R961">
        <f t="shared" ca="1" si="57"/>
        <v>59</v>
      </c>
      <c r="S961" s="2">
        <f t="shared" si="58"/>
        <v>1795.3899999999994</v>
      </c>
      <c r="T961" s="18">
        <v>0.1</v>
      </c>
      <c r="U961">
        <f t="shared" si="59"/>
        <v>1974.9289999999996</v>
      </c>
    </row>
    <row r="962" spans="1:21" x14ac:dyDescent="0.3">
      <c r="A962" t="s">
        <v>1966</v>
      </c>
      <c r="B962" s="1">
        <v>44710</v>
      </c>
      <c r="C962" t="s">
        <v>1967</v>
      </c>
      <c r="D962" s="3" t="s">
        <v>40</v>
      </c>
      <c r="E962" s="2">
        <v>24177</v>
      </c>
      <c r="F962" s="2">
        <v>9.1</v>
      </c>
      <c r="G962" s="4">
        <v>60</v>
      </c>
      <c r="H962" t="s">
        <v>19</v>
      </c>
      <c r="I962" t="s">
        <v>41</v>
      </c>
      <c r="J962" t="s">
        <v>32</v>
      </c>
      <c r="K962" s="2">
        <v>147192</v>
      </c>
      <c r="L962" t="s">
        <v>22</v>
      </c>
      <c r="M962" s="2">
        <v>0.49</v>
      </c>
      <c r="N962" s="2">
        <v>0.57999999999999996</v>
      </c>
      <c r="O962" s="2">
        <v>26377.11</v>
      </c>
      <c r="P962" s="2">
        <v>0</v>
      </c>
      <c r="Q962">
        <f t="shared" si="56"/>
        <v>41684.482758620696</v>
      </c>
      <c r="R962">
        <f t="shared" ca="1" si="57"/>
        <v>45</v>
      </c>
      <c r="S962" s="2">
        <f t="shared" si="58"/>
        <v>2200.1100000000006</v>
      </c>
      <c r="T962" s="18">
        <v>0.1</v>
      </c>
      <c r="U962">
        <f t="shared" si="59"/>
        <v>2420.121000000001</v>
      </c>
    </row>
    <row r="963" spans="1:21" x14ac:dyDescent="0.3">
      <c r="A963" t="s">
        <v>1968</v>
      </c>
      <c r="B963" s="1">
        <v>45011</v>
      </c>
      <c r="C963" t="s">
        <v>1969</v>
      </c>
      <c r="D963" s="3" t="s">
        <v>65</v>
      </c>
      <c r="E963" s="2">
        <v>25022</v>
      </c>
      <c r="F963" s="2">
        <v>19.5</v>
      </c>
      <c r="G963" s="4">
        <v>36</v>
      </c>
      <c r="H963" t="s">
        <v>19</v>
      </c>
      <c r="I963" t="s">
        <v>57</v>
      </c>
      <c r="J963" t="s">
        <v>21</v>
      </c>
      <c r="K963" s="2">
        <v>71574</v>
      </c>
      <c r="L963" t="s">
        <v>33</v>
      </c>
      <c r="M963" s="2">
        <v>0.42</v>
      </c>
      <c r="N963" s="2">
        <v>0.5</v>
      </c>
      <c r="O963" s="2">
        <v>29901.29</v>
      </c>
      <c r="P963" s="2">
        <v>0</v>
      </c>
      <c r="Q963">
        <f t="shared" ref="Q963:Q1001" si="60">E963/N963</f>
        <v>50044</v>
      </c>
      <c r="R963">
        <f t="shared" ref="R963:R1001" ca="1" si="61">DATEDIF(B963, TODAY(), "M")</f>
        <v>35</v>
      </c>
      <c r="S963" s="2">
        <f t="shared" ref="S963:S1001" si="62">(O963+P963)-E963</f>
        <v>4879.2900000000009</v>
      </c>
      <c r="T963" s="18">
        <v>0.1</v>
      </c>
      <c r="U963">
        <f t="shared" ref="U963:U1001" si="63">S963*(1+T963)</f>
        <v>5367.219000000001</v>
      </c>
    </row>
    <row r="964" spans="1:21" x14ac:dyDescent="0.3">
      <c r="A964" t="s">
        <v>1970</v>
      </c>
      <c r="B964" s="1">
        <v>44905</v>
      </c>
      <c r="C964" t="s">
        <v>1971</v>
      </c>
      <c r="D964" s="3" t="s">
        <v>76</v>
      </c>
      <c r="E964" s="2">
        <v>6542</v>
      </c>
      <c r="F964" s="2">
        <v>17.399999999999999</v>
      </c>
      <c r="G964" s="4">
        <v>36</v>
      </c>
      <c r="H964" t="s">
        <v>81</v>
      </c>
      <c r="I964" t="s">
        <v>57</v>
      </c>
      <c r="J964" t="s">
        <v>47</v>
      </c>
      <c r="K964" s="2">
        <v>148494</v>
      </c>
      <c r="L964" t="s">
        <v>33</v>
      </c>
      <c r="M964" s="2">
        <v>0.39</v>
      </c>
      <c r="N964" s="2">
        <v>0.86</v>
      </c>
      <c r="O964" s="2">
        <v>723.02</v>
      </c>
      <c r="P964" s="2">
        <v>1622.45</v>
      </c>
      <c r="Q964">
        <f t="shared" si="60"/>
        <v>7606.9767441860467</v>
      </c>
      <c r="R964">
        <f t="shared" ca="1" si="61"/>
        <v>39</v>
      </c>
      <c r="S964" s="2">
        <f t="shared" si="62"/>
        <v>-4196.53</v>
      </c>
      <c r="T964" s="18">
        <v>0.1</v>
      </c>
      <c r="U964">
        <f t="shared" si="63"/>
        <v>-4616.183</v>
      </c>
    </row>
    <row r="965" spans="1:21" x14ac:dyDescent="0.3">
      <c r="A965" t="s">
        <v>1972</v>
      </c>
      <c r="B965" s="1">
        <v>44942</v>
      </c>
      <c r="C965" t="s">
        <v>1973</v>
      </c>
      <c r="D965" s="3" t="s">
        <v>25</v>
      </c>
      <c r="E965" s="2">
        <v>26476</v>
      </c>
      <c r="F965" s="2">
        <v>22.9</v>
      </c>
      <c r="G965" s="4">
        <v>36</v>
      </c>
      <c r="H965" t="s">
        <v>19</v>
      </c>
      <c r="I965" t="s">
        <v>27</v>
      </c>
      <c r="J965" t="s">
        <v>28</v>
      </c>
      <c r="K965" s="2">
        <v>61417</v>
      </c>
      <c r="L965" t="s">
        <v>22</v>
      </c>
      <c r="M965" s="2">
        <v>0.31</v>
      </c>
      <c r="N965" s="2">
        <v>0.53</v>
      </c>
      <c r="O965" s="2">
        <v>32539</v>
      </c>
      <c r="P965" s="2">
        <v>0</v>
      </c>
      <c r="Q965">
        <f t="shared" si="60"/>
        <v>49954.716981132071</v>
      </c>
      <c r="R965">
        <f t="shared" ca="1" si="61"/>
        <v>38</v>
      </c>
      <c r="S965" s="2">
        <f t="shared" si="62"/>
        <v>6063</v>
      </c>
      <c r="T965" s="18">
        <v>0.1</v>
      </c>
      <c r="U965">
        <f t="shared" si="63"/>
        <v>6669.3</v>
      </c>
    </row>
    <row r="966" spans="1:21" x14ac:dyDescent="0.3">
      <c r="A966" t="s">
        <v>1974</v>
      </c>
      <c r="B966" s="1">
        <v>45219</v>
      </c>
      <c r="C966" t="s">
        <v>1975</v>
      </c>
      <c r="D966" s="3" t="s">
        <v>46</v>
      </c>
      <c r="E966" s="2">
        <v>31784</v>
      </c>
      <c r="F966" s="2">
        <v>21.9</v>
      </c>
      <c r="G966" s="4">
        <v>36</v>
      </c>
      <c r="H966" t="s">
        <v>26</v>
      </c>
      <c r="I966" t="s">
        <v>57</v>
      </c>
      <c r="J966" t="s">
        <v>47</v>
      </c>
      <c r="K966" s="2">
        <v>118020</v>
      </c>
      <c r="L966" t="s">
        <v>29</v>
      </c>
      <c r="M966" s="2">
        <v>0.44</v>
      </c>
      <c r="N966" s="2">
        <v>0.69</v>
      </c>
      <c r="O966" s="2">
        <v>2122.0300000000002</v>
      </c>
      <c r="P966" s="2">
        <v>0</v>
      </c>
      <c r="Q966">
        <f t="shared" si="60"/>
        <v>46063.768115942032</v>
      </c>
      <c r="R966">
        <f t="shared" ca="1" si="61"/>
        <v>28</v>
      </c>
      <c r="S966" s="2">
        <f t="shared" si="62"/>
        <v>-29661.97</v>
      </c>
      <c r="T966" s="18">
        <v>0.1</v>
      </c>
      <c r="U966">
        <f t="shared" si="63"/>
        <v>-32628.167000000005</v>
      </c>
    </row>
    <row r="967" spans="1:21" x14ac:dyDescent="0.3">
      <c r="A967" t="s">
        <v>1976</v>
      </c>
      <c r="B967" s="1">
        <v>44903</v>
      </c>
      <c r="C967" t="s">
        <v>1977</v>
      </c>
      <c r="D967" s="3" t="s">
        <v>76</v>
      </c>
      <c r="E967" s="2">
        <v>23740</v>
      </c>
      <c r="F967" s="2">
        <v>11.3</v>
      </c>
      <c r="G967" s="4">
        <v>36</v>
      </c>
      <c r="H967" t="s">
        <v>26</v>
      </c>
      <c r="I967" t="s">
        <v>20</v>
      </c>
      <c r="J967" t="s">
        <v>47</v>
      </c>
      <c r="K967" s="2">
        <v>113639</v>
      </c>
      <c r="L967" t="s">
        <v>29</v>
      </c>
      <c r="M967" s="2">
        <v>0.24</v>
      </c>
      <c r="N967" s="2">
        <v>0.81</v>
      </c>
      <c r="O967" s="2">
        <v>1468.47</v>
      </c>
      <c r="P967" s="2">
        <v>0</v>
      </c>
      <c r="Q967">
        <f t="shared" si="60"/>
        <v>29308.641975308641</v>
      </c>
      <c r="R967">
        <f t="shared" ca="1" si="61"/>
        <v>39</v>
      </c>
      <c r="S967" s="2">
        <f t="shared" si="62"/>
        <v>-22271.53</v>
      </c>
      <c r="T967" s="18">
        <v>0.1</v>
      </c>
      <c r="U967">
        <f t="shared" si="63"/>
        <v>-24498.683000000001</v>
      </c>
    </row>
    <row r="968" spans="1:21" x14ac:dyDescent="0.3">
      <c r="A968" t="s">
        <v>1978</v>
      </c>
      <c r="B968" s="1">
        <v>44667</v>
      </c>
      <c r="C968" t="s">
        <v>1979</v>
      </c>
      <c r="D968" s="3" t="s">
        <v>25</v>
      </c>
      <c r="E968" s="2">
        <v>25817</v>
      </c>
      <c r="F968" s="2">
        <v>10.5</v>
      </c>
      <c r="G968" s="4">
        <v>60</v>
      </c>
      <c r="H968" t="s">
        <v>19</v>
      </c>
      <c r="I968" t="s">
        <v>20</v>
      </c>
      <c r="J968" t="s">
        <v>37</v>
      </c>
      <c r="K968" s="2">
        <v>95006</v>
      </c>
      <c r="L968" t="s">
        <v>29</v>
      </c>
      <c r="M968" s="2">
        <v>0.38</v>
      </c>
      <c r="N968" s="2">
        <v>0.61</v>
      </c>
      <c r="O968" s="2">
        <v>28527.78</v>
      </c>
      <c r="P968" s="2">
        <v>0</v>
      </c>
      <c r="Q968">
        <f t="shared" si="60"/>
        <v>42322.950819672129</v>
      </c>
      <c r="R968">
        <f t="shared" ca="1" si="61"/>
        <v>47</v>
      </c>
      <c r="S968" s="2">
        <f t="shared" si="62"/>
        <v>2710.7799999999988</v>
      </c>
      <c r="T968" s="18">
        <v>0.1</v>
      </c>
      <c r="U968">
        <f t="shared" si="63"/>
        <v>2981.8579999999988</v>
      </c>
    </row>
    <row r="969" spans="1:21" x14ac:dyDescent="0.3">
      <c r="A969" t="s">
        <v>1980</v>
      </c>
      <c r="B969" s="1">
        <v>44592</v>
      </c>
      <c r="C969" t="s">
        <v>1981</v>
      </c>
      <c r="D969" s="3" t="s">
        <v>65</v>
      </c>
      <c r="E969" s="2">
        <v>17052</v>
      </c>
      <c r="F969" s="2">
        <v>24.6</v>
      </c>
      <c r="G969" s="4">
        <v>36</v>
      </c>
      <c r="H969" t="s">
        <v>26</v>
      </c>
      <c r="I969" t="s">
        <v>57</v>
      </c>
      <c r="J969" t="s">
        <v>21</v>
      </c>
      <c r="K969" s="2">
        <v>124881</v>
      </c>
      <c r="L969" t="s">
        <v>33</v>
      </c>
      <c r="M969" s="2">
        <v>0.5</v>
      </c>
      <c r="N969" s="2">
        <v>0.54</v>
      </c>
      <c r="O969" s="2">
        <v>6524.2</v>
      </c>
      <c r="P969" s="2">
        <v>0</v>
      </c>
      <c r="Q969">
        <f t="shared" si="60"/>
        <v>31577.777777777777</v>
      </c>
      <c r="R969">
        <f t="shared" ca="1" si="61"/>
        <v>49</v>
      </c>
      <c r="S969" s="2">
        <f t="shared" si="62"/>
        <v>-10527.8</v>
      </c>
      <c r="T969" s="18">
        <v>0.1</v>
      </c>
      <c r="U969">
        <f t="shared" si="63"/>
        <v>-11580.58</v>
      </c>
    </row>
    <row r="970" spans="1:21" x14ac:dyDescent="0.3">
      <c r="A970" t="s">
        <v>1982</v>
      </c>
      <c r="B970" s="1">
        <v>44457</v>
      </c>
      <c r="C970" t="s">
        <v>1983</v>
      </c>
      <c r="D970" s="3" t="s">
        <v>65</v>
      </c>
      <c r="E970" s="2">
        <v>36153</v>
      </c>
      <c r="F970" s="2">
        <v>15.5</v>
      </c>
      <c r="G970" s="4">
        <v>36</v>
      </c>
      <c r="H970" t="s">
        <v>26</v>
      </c>
      <c r="I970" t="s">
        <v>20</v>
      </c>
      <c r="J970" t="s">
        <v>37</v>
      </c>
      <c r="K970" s="2">
        <v>141862</v>
      </c>
      <c r="L970" t="s">
        <v>33</v>
      </c>
      <c r="M970" s="2">
        <v>0.23</v>
      </c>
      <c r="N970" s="2">
        <v>0.85</v>
      </c>
      <c r="O970" s="2">
        <v>6981.3</v>
      </c>
      <c r="P970" s="2">
        <v>0</v>
      </c>
      <c r="Q970">
        <f t="shared" si="60"/>
        <v>42532.941176470587</v>
      </c>
      <c r="R970">
        <f t="shared" ca="1" si="61"/>
        <v>54</v>
      </c>
      <c r="S970" s="2">
        <f t="shared" si="62"/>
        <v>-29171.7</v>
      </c>
      <c r="T970" s="18">
        <v>0.1</v>
      </c>
      <c r="U970">
        <f t="shared" si="63"/>
        <v>-32088.870000000003</v>
      </c>
    </row>
    <row r="971" spans="1:21" x14ac:dyDescent="0.3">
      <c r="A971" t="s">
        <v>1984</v>
      </c>
      <c r="B971" s="1">
        <v>45001</v>
      </c>
      <c r="C971" t="s">
        <v>1985</v>
      </c>
      <c r="D971" s="3" t="s">
        <v>56</v>
      </c>
      <c r="E971" s="2">
        <v>1671</v>
      </c>
      <c r="F971" s="2">
        <v>23.1</v>
      </c>
      <c r="G971" s="4">
        <v>36</v>
      </c>
      <c r="H971" t="s">
        <v>26</v>
      </c>
      <c r="I971" t="s">
        <v>20</v>
      </c>
      <c r="J971" t="s">
        <v>21</v>
      </c>
      <c r="K971" s="2">
        <v>69454</v>
      </c>
      <c r="L971" t="s">
        <v>33</v>
      </c>
      <c r="M971" s="2">
        <v>0.37</v>
      </c>
      <c r="N971" s="2">
        <v>0.78</v>
      </c>
      <c r="O971" s="2">
        <v>682.33</v>
      </c>
      <c r="P971" s="2">
        <v>0</v>
      </c>
      <c r="Q971">
        <f t="shared" si="60"/>
        <v>2142.3076923076924</v>
      </c>
      <c r="R971">
        <f t="shared" ca="1" si="61"/>
        <v>36</v>
      </c>
      <c r="S971" s="2">
        <f t="shared" si="62"/>
        <v>-988.67</v>
      </c>
      <c r="T971" s="18">
        <v>0.1</v>
      </c>
      <c r="U971">
        <f t="shared" si="63"/>
        <v>-1087.537</v>
      </c>
    </row>
    <row r="972" spans="1:21" x14ac:dyDescent="0.3">
      <c r="A972" t="s">
        <v>1986</v>
      </c>
      <c r="B972" s="1">
        <v>45130</v>
      </c>
      <c r="C972" t="s">
        <v>1987</v>
      </c>
      <c r="D972" s="3" t="s">
        <v>46</v>
      </c>
      <c r="E972" s="2">
        <v>1163</v>
      </c>
      <c r="F972" s="2">
        <v>8.3000000000000007</v>
      </c>
      <c r="G972" s="4">
        <v>36</v>
      </c>
      <c r="H972" t="s">
        <v>19</v>
      </c>
      <c r="I972" t="s">
        <v>84</v>
      </c>
      <c r="J972" t="s">
        <v>47</v>
      </c>
      <c r="K972" s="2">
        <v>31587</v>
      </c>
      <c r="L972" t="s">
        <v>33</v>
      </c>
      <c r="M972" s="2">
        <v>0.44</v>
      </c>
      <c r="N972" s="2">
        <v>0.94</v>
      </c>
      <c r="O972" s="2">
        <v>1259.53</v>
      </c>
      <c r="P972" s="2">
        <v>0</v>
      </c>
      <c r="Q972">
        <f t="shared" si="60"/>
        <v>1237.2340425531916</v>
      </c>
      <c r="R972">
        <f t="shared" ca="1" si="61"/>
        <v>31</v>
      </c>
      <c r="S972" s="2">
        <f t="shared" si="62"/>
        <v>96.529999999999973</v>
      </c>
      <c r="T972" s="18">
        <v>0.1</v>
      </c>
      <c r="U972">
        <f t="shared" si="63"/>
        <v>106.18299999999998</v>
      </c>
    </row>
    <row r="973" spans="1:21" x14ac:dyDescent="0.3">
      <c r="A973" t="s">
        <v>1988</v>
      </c>
      <c r="B973" s="1">
        <v>45101</v>
      </c>
      <c r="C973" t="s">
        <v>1989</v>
      </c>
      <c r="D973" s="3" t="s">
        <v>50</v>
      </c>
      <c r="E973" s="2">
        <v>5795</v>
      </c>
      <c r="F973" s="2">
        <v>17.899999999999999</v>
      </c>
      <c r="G973" s="4">
        <v>36</v>
      </c>
      <c r="H973" t="s">
        <v>19</v>
      </c>
      <c r="I973" t="s">
        <v>20</v>
      </c>
      <c r="J973" t="s">
        <v>47</v>
      </c>
      <c r="K973" s="2">
        <v>138107</v>
      </c>
      <c r="L973" t="s">
        <v>33</v>
      </c>
      <c r="M973" s="2">
        <v>0.47</v>
      </c>
      <c r="N973" s="2">
        <v>0.65</v>
      </c>
      <c r="O973" s="2">
        <v>6832.3</v>
      </c>
      <c r="P973" s="2">
        <v>0</v>
      </c>
      <c r="Q973">
        <f t="shared" si="60"/>
        <v>8915.3846153846152</v>
      </c>
      <c r="R973">
        <f t="shared" ca="1" si="61"/>
        <v>32</v>
      </c>
      <c r="S973" s="2">
        <f t="shared" si="62"/>
        <v>1037.3000000000002</v>
      </c>
      <c r="T973" s="18">
        <v>0.1</v>
      </c>
      <c r="U973">
        <f t="shared" si="63"/>
        <v>1141.0300000000002</v>
      </c>
    </row>
    <row r="974" spans="1:21" x14ac:dyDescent="0.3">
      <c r="A974" t="s">
        <v>1990</v>
      </c>
      <c r="B974" s="1">
        <v>45273</v>
      </c>
      <c r="C974" t="s">
        <v>1991</v>
      </c>
      <c r="D974" s="3" t="s">
        <v>53</v>
      </c>
      <c r="E974" s="2">
        <v>11634</v>
      </c>
      <c r="F974" s="2">
        <v>21.2</v>
      </c>
      <c r="G974" s="4">
        <v>36</v>
      </c>
      <c r="H974" t="s">
        <v>19</v>
      </c>
      <c r="I974" t="s">
        <v>27</v>
      </c>
      <c r="J974" t="s">
        <v>21</v>
      </c>
      <c r="K974" s="2">
        <v>145584</v>
      </c>
      <c r="L974" t="s">
        <v>22</v>
      </c>
      <c r="M974" s="2">
        <v>0.39</v>
      </c>
      <c r="N974" s="2">
        <v>0.53</v>
      </c>
      <c r="O974" s="2">
        <v>14100.41</v>
      </c>
      <c r="P974" s="2">
        <v>0</v>
      </c>
      <c r="Q974">
        <f t="shared" si="60"/>
        <v>21950.943396226416</v>
      </c>
      <c r="R974">
        <f t="shared" ca="1" si="61"/>
        <v>27</v>
      </c>
      <c r="S974" s="2">
        <f t="shared" si="62"/>
        <v>2466.41</v>
      </c>
      <c r="T974" s="18">
        <v>0.1</v>
      </c>
      <c r="U974">
        <f t="shared" si="63"/>
        <v>2713.0509999999999</v>
      </c>
    </row>
    <row r="975" spans="1:21" x14ac:dyDescent="0.3">
      <c r="A975" t="s">
        <v>1992</v>
      </c>
      <c r="B975" s="1">
        <v>45136</v>
      </c>
      <c r="C975" t="s">
        <v>1993</v>
      </c>
      <c r="D975" s="3" t="s">
        <v>40</v>
      </c>
      <c r="E975" s="2">
        <v>5798</v>
      </c>
      <c r="F975" s="2">
        <v>23.9</v>
      </c>
      <c r="G975" s="4">
        <v>36</v>
      </c>
      <c r="H975" t="s">
        <v>26</v>
      </c>
      <c r="I975" t="s">
        <v>84</v>
      </c>
      <c r="J975" t="s">
        <v>47</v>
      </c>
      <c r="K975" s="2">
        <v>84710</v>
      </c>
      <c r="L975" t="s">
        <v>33</v>
      </c>
      <c r="M975" s="2">
        <v>0.21</v>
      </c>
      <c r="N975" s="2">
        <v>0.83</v>
      </c>
      <c r="O975" s="2">
        <v>1416.33</v>
      </c>
      <c r="P975" s="2">
        <v>0</v>
      </c>
      <c r="Q975">
        <f t="shared" si="60"/>
        <v>6985.5421686746995</v>
      </c>
      <c r="R975">
        <f t="shared" ca="1" si="61"/>
        <v>31</v>
      </c>
      <c r="S975" s="2">
        <f t="shared" si="62"/>
        <v>-4381.67</v>
      </c>
      <c r="T975" s="18">
        <v>0.1</v>
      </c>
      <c r="U975">
        <f t="shared" si="63"/>
        <v>-4819.8370000000004</v>
      </c>
    </row>
    <row r="976" spans="1:21" x14ac:dyDescent="0.3">
      <c r="A976" t="s">
        <v>1994</v>
      </c>
      <c r="B976" s="1">
        <v>45050</v>
      </c>
      <c r="C976" t="s">
        <v>1995</v>
      </c>
      <c r="D976" s="3" t="s">
        <v>40</v>
      </c>
      <c r="E976" s="2">
        <v>23420</v>
      </c>
      <c r="F976" s="2">
        <v>11.7</v>
      </c>
      <c r="G976" s="4">
        <v>36</v>
      </c>
      <c r="H976" t="s">
        <v>26</v>
      </c>
      <c r="I976" t="s">
        <v>73</v>
      </c>
      <c r="J976" t="s">
        <v>47</v>
      </c>
      <c r="K976" s="2">
        <v>116567</v>
      </c>
      <c r="L976" t="s">
        <v>29</v>
      </c>
      <c r="M976" s="2">
        <v>0.23</v>
      </c>
      <c r="N976" s="2">
        <v>0.73</v>
      </c>
      <c r="O976" s="2">
        <v>5945.15</v>
      </c>
      <c r="P976" s="2">
        <v>0</v>
      </c>
      <c r="Q976">
        <f t="shared" si="60"/>
        <v>32082.191780821919</v>
      </c>
      <c r="R976">
        <f t="shared" ca="1" si="61"/>
        <v>34</v>
      </c>
      <c r="S976" s="2">
        <f t="shared" si="62"/>
        <v>-17474.849999999999</v>
      </c>
      <c r="T976" s="18">
        <v>0.1</v>
      </c>
      <c r="U976">
        <f t="shared" si="63"/>
        <v>-19222.334999999999</v>
      </c>
    </row>
    <row r="977" spans="1:21" x14ac:dyDescent="0.3">
      <c r="A977" t="s">
        <v>1996</v>
      </c>
      <c r="B977" s="1">
        <v>44789</v>
      </c>
      <c r="C977" t="s">
        <v>1997</v>
      </c>
      <c r="D977" s="3" t="s">
        <v>65</v>
      </c>
      <c r="E977" s="2">
        <v>30300</v>
      </c>
      <c r="F977" s="2">
        <v>19.5</v>
      </c>
      <c r="G977" s="4">
        <v>36</v>
      </c>
      <c r="H977" t="s">
        <v>19</v>
      </c>
      <c r="I977" t="s">
        <v>57</v>
      </c>
      <c r="J977" t="s">
        <v>28</v>
      </c>
      <c r="K977" s="2">
        <v>121748</v>
      </c>
      <c r="L977" t="s">
        <v>33</v>
      </c>
      <c r="M977" s="2">
        <v>0.11</v>
      </c>
      <c r="N977" s="2">
        <v>0.6</v>
      </c>
      <c r="O977" s="2">
        <v>36208.5</v>
      </c>
      <c r="P977" s="2">
        <v>0</v>
      </c>
      <c r="Q977">
        <f t="shared" si="60"/>
        <v>50500</v>
      </c>
      <c r="R977">
        <f t="shared" ca="1" si="61"/>
        <v>43</v>
      </c>
      <c r="S977" s="2">
        <f t="shared" si="62"/>
        <v>5908.5</v>
      </c>
      <c r="T977" s="18">
        <v>0.1</v>
      </c>
      <c r="U977">
        <f t="shared" si="63"/>
        <v>6499.35</v>
      </c>
    </row>
    <row r="978" spans="1:21" x14ac:dyDescent="0.3">
      <c r="A978" t="s">
        <v>1998</v>
      </c>
      <c r="B978" s="1">
        <v>44910</v>
      </c>
      <c r="C978" t="s">
        <v>1999</v>
      </c>
      <c r="D978" s="3" t="s">
        <v>40</v>
      </c>
      <c r="E978" s="2">
        <v>25345</v>
      </c>
      <c r="F978" s="2">
        <v>15.8</v>
      </c>
      <c r="G978" s="4">
        <v>36</v>
      </c>
      <c r="H978" t="s">
        <v>81</v>
      </c>
      <c r="I978" t="s">
        <v>20</v>
      </c>
      <c r="J978" t="s">
        <v>37</v>
      </c>
      <c r="K978" s="2">
        <v>105886</v>
      </c>
      <c r="L978" t="s">
        <v>22</v>
      </c>
      <c r="M978" s="2">
        <v>0.4</v>
      </c>
      <c r="N978" s="2">
        <v>0.85</v>
      </c>
      <c r="O978" s="2">
        <v>6434.2</v>
      </c>
      <c r="P978" s="2">
        <v>4640.18</v>
      </c>
      <c r="Q978">
        <f t="shared" si="60"/>
        <v>29817.647058823532</v>
      </c>
      <c r="R978">
        <f t="shared" ca="1" si="61"/>
        <v>39</v>
      </c>
      <c r="S978" s="2">
        <f t="shared" si="62"/>
        <v>-14270.619999999999</v>
      </c>
      <c r="T978" s="18">
        <v>0.1</v>
      </c>
      <c r="U978">
        <f t="shared" si="63"/>
        <v>-15697.682000000001</v>
      </c>
    </row>
    <row r="979" spans="1:21" x14ac:dyDescent="0.3">
      <c r="A979" t="s">
        <v>2000</v>
      </c>
      <c r="B979" s="1">
        <v>44828</v>
      </c>
      <c r="C979" t="s">
        <v>2001</v>
      </c>
      <c r="D979" s="3" t="s">
        <v>65</v>
      </c>
      <c r="E979" s="2">
        <v>11749</v>
      </c>
      <c r="F979" s="2">
        <v>6.2</v>
      </c>
      <c r="G979" s="4">
        <v>60</v>
      </c>
      <c r="H979" t="s">
        <v>19</v>
      </c>
      <c r="I979" t="s">
        <v>27</v>
      </c>
      <c r="J979" t="s">
        <v>37</v>
      </c>
      <c r="K979" s="2">
        <v>48816</v>
      </c>
      <c r="L979" t="s">
        <v>29</v>
      </c>
      <c r="M979" s="2">
        <v>0.12</v>
      </c>
      <c r="N979" s="2">
        <v>0.59</v>
      </c>
      <c r="O979" s="2">
        <v>12477.44</v>
      </c>
      <c r="P979" s="2">
        <v>0</v>
      </c>
      <c r="Q979">
        <f t="shared" si="60"/>
        <v>19913.5593220339</v>
      </c>
      <c r="R979">
        <f t="shared" ca="1" si="61"/>
        <v>41</v>
      </c>
      <c r="S979" s="2">
        <f t="shared" si="62"/>
        <v>728.44000000000051</v>
      </c>
      <c r="T979" s="18">
        <v>0.1</v>
      </c>
      <c r="U979">
        <f t="shared" si="63"/>
        <v>801.28400000000067</v>
      </c>
    </row>
    <row r="980" spans="1:21" x14ac:dyDescent="0.3">
      <c r="A980" t="s">
        <v>2002</v>
      </c>
      <c r="B980" s="1">
        <v>44255</v>
      </c>
      <c r="C980" t="s">
        <v>2003</v>
      </c>
      <c r="D980" s="3" t="s">
        <v>53</v>
      </c>
      <c r="E980" s="2">
        <v>39595</v>
      </c>
      <c r="F980" s="2">
        <v>18.8</v>
      </c>
      <c r="G980" s="4">
        <v>60</v>
      </c>
      <c r="H980" t="s">
        <v>81</v>
      </c>
      <c r="I980" t="s">
        <v>73</v>
      </c>
      <c r="J980" t="s">
        <v>37</v>
      </c>
      <c r="K980" s="2">
        <v>115824</v>
      </c>
      <c r="L980" t="s">
        <v>22</v>
      </c>
      <c r="M980" s="2">
        <v>0.45</v>
      </c>
      <c r="N980" s="2">
        <v>0.62</v>
      </c>
      <c r="O980" s="2">
        <v>12429.24</v>
      </c>
      <c r="P980" s="2">
        <v>11066.94</v>
      </c>
      <c r="Q980">
        <f t="shared" si="60"/>
        <v>63862.903225806454</v>
      </c>
      <c r="R980">
        <f t="shared" ca="1" si="61"/>
        <v>60</v>
      </c>
      <c r="S980" s="2">
        <f t="shared" si="62"/>
        <v>-16098.82</v>
      </c>
      <c r="T980" s="18">
        <v>0.1</v>
      </c>
      <c r="U980">
        <f t="shared" si="63"/>
        <v>-17708.702000000001</v>
      </c>
    </row>
    <row r="981" spans="1:21" x14ac:dyDescent="0.3">
      <c r="A981" t="s">
        <v>2004</v>
      </c>
      <c r="B981" s="1">
        <v>44324</v>
      </c>
      <c r="C981" t="s">
        <v>2005</v>
      </c>
      <c r="D981" s="3" t="s">
        <v>65</v>
      </c>
      <c r="E981" s="2">
        <v>26121</v>
      </c>
      <c r="F981" s="2">
        <v>18.8</v>
      </c>
      <c r="G981" s="4">
        <v>60</v>
      </c>
      <c r="H981" t="s">
        <v>315</v>
      </c>
      <c r="I981" t="s">
        <v>27</v>
      </c>
      <c r="J981" t="s">
        <v>32</v>
      </c>
      <c r="K981" s="2">
        <v>59432</v>
      </c>
      <c r="L981" t="s">
        <v>29</v>
      </c>
      <c r="M981" s="2">
        <v>0.15</v>
      </c>
      <c r="N981" s="2">
        <v>0.54</v>
      </c>
      <c r="O981" s="2">
        <v>0</v>
      </c>
      <c r="P981" s="2">
        <v>0</v>
      </c>
      <c r="Q981">
        <f t="shared" si="60"/>
        <v>48372.222222222219</v>
      </c>
      <c r="R981">
        <f t="shared" ca="1" si="61"/>
        <v>58</v>
      </c>
      <c r="S981" s="2">
        <f t="shared" si="62"/>
        <v>-26121</v>
      </c>
      <c r="T981" s="18">
        <v>0.1</v>
      </c>
      <c r="U981">
        <f t="shared" si="63"/>
        <v>-28733.100000000002</v>
      </c>
    </row>
    <row r="982" spans="1:21" x14ac:dyDescent="0.3">
      <c r="A982" t="s">
        <v>2006</v>
      </c>
      <c r="B982" s="1">
        <v>44932</v>
      </c>
      <c r="C982" t="s">
        <v>2007</v>
      </c>
      <c r="D982" s="3" t="s">
        <v>56</v>
      </c>
      <c r="E982" s="2">
        <v>38487</v>
      </c>
      <c r="F982" s="2">
        <v>23.6</v>
      </c>
      <c r="G982" s="4">
        <v>60</v>
      </c>
      <c r="H982" t="s">
        <v>81</v>
      </c>
      <c r="I982" t="s">
        <v>20</v>
      </c>
      <c r="J982" t="s">
        <v>28</v>
      </c>
      <c r="K982" s="2">
        <v>139758</v>
      </c>
      <c r="L982" t="s">
        <v>33</v>
      </c>
      <c r="M982" s="2">
        <v>0.17</v>
      </c>
      <c r="N982" s="2">
        <v>0.68</v>
      </c>
      <c r="O982" s="2">
        <v>7006.59</v>
      </c>
      <c r="P982" s="2">
        <v>17357.919999999998</v>
      </c>
      <c r="Q982">
        <f t="shared" si="60"/>
        <v>56598.529411764699</v>
      </c>
      <c r="R982">
        <f t="shared" ca="1" si="61"/>
        <v>38</v>
      </c>
      <c r="S982" s="2">
        <f t="shared" si="62"/>
        <v>-14122.490000000002</v>
      </c>
      <c r="T982" s="18">
        <v>0.1</v>
      </c>
      <c r="U982">
        <f t="shared" si="63"/>
        <v>-15534.739000000003</v>
      </c>
    </row>
    <row r="983" spans="1:21" x14ac:dyDescent="0.3">
      <c r="A983" t="s">
        <v>2008</v>
      </c>
      <c r="B983" s="1">
        <v>44917</v>
      </c>
      <c r="C983" t="s">
        <v>2009</v>
      </c>
      <c r="D983" s="3" t="s">
        <v>50</v>
      </c>
      <c r="E983" s="2">
        <v>29411</v>
      </c>
      <c r="F983" s="2">
        <v>14.9</v>
      </c>
      <c r="G983" s="4">
        <v>36</v>
      </c>
      <c r="H983" t="s">
        <v>26</v>
      </c>
      <c r="I983" t="s">
        <v>36</v>
      </c>
      <c r="J983" t="s">
        <v>37</v>
      </c>
      <c r="K983" s="2">
        <v>78617</v>
      </c>
      <c r="L983" t="s">
        <v>22</v>
      </c>
      <c r="M983" s="2">
        <v>0.28999999999999998</v>
      </c>
      <c r="N983" s="2">
        <v>0.69</v>
      </c>
      <c r="O983" s="2">
        <v>3079.75</v>
      </c>
      <c r="P983" s="2">
        <v>0</v>
      </c>
      <c r="Q983">
        <f t="shared" si="60"/>
        <v>42624.637681159424</v>
      </c>
      <c r="R983">
        <f t="shared" ca="1" si="61"/>
        <v>38</v>
      </c>
      <c r="S983" s="2">
        <f t="shared" si="62"/>
        <v>-26331.25</v>
      </c>
      <c r="T983" s="18">
        <v>0.1</v>
      </c>
      <c r="U983">
        <f t="shared" si="63"/>
        <v>-28964.375000000004</v>
      </c>
    </row>
    <row r="984" spans="1:21" x14ac:dyDescent="0.3">
      <c r="A984" t="s">
        <v>2010</v>
      </c>
      <c r="B984" s="1">
        <v>44722</v>
      </c>
      <c r="C984" t="s">
        <v>2011</v>
      </c>
      <c r="D984" s="3" t="s">
        <v>18</v>
      </c>
      <c r="E984" s="2">
        <v>34361</v>
      </c>
      <c r="F984" s="2">
        <v>9.6</v>
      </c>
      <c r="G984" s="4">
        <v>60</v>
      </c>
      <c r="H984" t="s">
        <v>19</v>
      </c>
      <c r="I984" t="s">
        <v>20</v>
      </c>
      <c r="J984" t="s">
        <v>37</v>
      </c>
      <c r="K984" s="2">
        <v>102373</v>
      </c>
      <c r="L984" t="s">
        <v>29</v>
      </c>
      <c r="M984" s="2">
        <v>0.4</v>
      </c>
      <c r="N984" s="2">
        <v>0.73</v>
      </c>
      <c r="O984" s="2">
        <v>37659.660000000003</v>
      </c>
      <c r="P984" s="2">
        <v>0</v>
      </c>
      <c r="Q984">
        <f t="shared" si="60"/>
        <v>47069.863013698632</v>
      </c>
      <c r="R984">
        <f t="shared" ca="1" si="61"/>
        <v>45</v>
      </c>
      <c r="S984" s="2">
        <f t="shared" si="62"/>
        <v>3298.6600000000035</v>
      </c>
      <c r="T984" s="18">
        <v>0.1</v>
      </c>
      <c r="U984">
        <f t="shared" si="63"/>
        <v>3628.5260000000039</v>
      </c>
    </row>
    <row r="985" spans="1:21" x14ac:dyDescent="0.3">
      <c r="A985" t="s">
        <v>2012</v>
      </c>
      <c r="B985" s="1">
        <v>44717</v>
      </c>
      <c r="C985" t="s">
        <v>2013</v>
      </c>
      <c r="D985" s="3" t="s">
        <v>72</v>
      </c>
      <c r="E985" s="2">
        <v>22223</v>
      </c>
      <c r="F985" s="2">
        <v>5.9</v>
      </c>
      <c r="G985" s="4">
        <v>60</v>
      </c>
      <c r="H985" t="s">
        <v>19</v>
      </c>
      <c r="I985" t="s">
        <v>57</v>
      </c>
      <c r="J985" t="s">
        <v>28</v>
      </c>
      <c r="K985" s="2">
        <v>64217</v>
      </c>
      <c r="L985" t="s">
        <v>33</v>
      </c>
      <c r="M985" s="2">
        <v>0.16</v>
      </c>
      <c r="N985" s="2">
        <v>0.82</v>
      </c>
      <c r="O985" s="2">
        <v>23534.16</v>
      </c>
      <c r="P985" s="2">
        <v>0</v>
      </c>
      <c r="Q985">
        <f t="shared" si="60"/>
        <v>27101.219512195123</v>
      </c>
      <c r="R985">
        <f t="shared" ca="1" si="61"/>
        <v>45</v>
      </c>
      <c r="S985" s="2">
        <f t="shared" si="62"/>
        <v>1311.1599999999999</v>
      </c>
      <c r="T985" s="18">
        <v>0.1</v>
      </c>
      <c r="U985">
        <f t="shared" si="63"/>
        <v>1442.2760000000001</v>
      </c>
    </row>
    <row r="986" spans="1:21" x14ac:dyDescent="0.3">
      <c r="A986" t="s">
        <v>2014</v>
      </c>
      <c r="B986" s="1">
        <v>44748</v>
      </c>
      <c r="C986" t="s">
        <v>2015</v>
      </c>
      <c r="D986" s="3" t="s">
        <v>50</v>
      </c>
      <c r="E986" s="2">
        <v>8394</v>
      </c>
      <c r="F986" s="2">
        <v>13.3</v>
      </c>
      <c r="G986" s="4">
        <v>36</v>
      </c>
      <c r="H986" t="s">
        <v>26</v>
      </c>
      <c r="I986" t="s">
        <v>57</v>
      </c>
      <c r="J986" t="s">
        <v>47</v>
      </c>
      <c r="K986" s="2">
        <v>50884</v>
      </c>
      <c r="L986" t="s">
        <v>29</v>
      </c>
      <c r="M986" s="2">
        <v>0.28000000000000003</v>
      </c>
      <c r="N986" s="2">
        <v>0.91</v>
      </c>
      <c r="O986" s="2">
        <v>2520.1</v>
      </c>
      <c r="P986" s="2">
        <v>0</v>
      </c>
      <c r="Q986">
        <f t="shared" si="60"/>
        <v>9224.1758241758234</v>
      </c>
      <c r="R986">
        <f t="shared" ca="1" si="61"/>
        <v>44</v>
      </c>
      <c r="S986" s="2">
        <f t="shared" si="62"/>
        <v>-5873.9</v>
      </c>
      <c r="T986" s="18">
        <v>0.1</v>
      </c>
      <c r="U986">
        <f t="shared" si="63"/>
        <v>-6461.29</v>
      </c>
    </row>
    <row r="987" spans="1:21" x14ac:dyDescent="0.3">
      <c r="A987" t="s">
        <v>2016</v>
      </c>
      <c r="B987" s="1">
        <v>44433</v>
      </c>
      <c r="C987" t="s">
        <v>2017</v>
      </c>
      <c r="D987" s="3" t="s">
        <v>50</v>
      </c>
      <c r="E987" s="2">
        <v>15056</v>
      </c>
      <c r="F987" s="2">
        <v>11</v>
      </c>
      <c r="G987" s="4">
        <v>60</v>
      </c>
      <c r="H987" t="s">
        <v>19</v>
      </c>
      <c r="I987" t="s">
        <v>20</v>
      </c>
      <c r="J987" t="s">
        <v>37</v>
      </c>
      <c r="K987" s="2">
        <v>35454</v>
      </c>
      <c r="L987" t="s">
        <v>22</v>
      </c>
      <c r="M987" s="2">
        <v>0.28999999999999998</v>
      </c>
      <c r="N987" s="2">
        <v>0.56000000000000005</v>
      </c>
      <c r="O987" s="2">
        <v>16712.16</v>
      </c>
      <c r="P987" s="2">
        <v>0</v>
      </c>
      <c r="Q987">
        <f t="shared" si="60"/>
        <v>26885.714285714283</v>
      </c>
      <c r="R987">
        <f t="shared" ca="1" si="61"/>
        <v>54</v>
      </c>
      <c r="S987" s="2">
        <f t="shared" si="62"/>
        <v>1656.1599999999999</v>
      </c>
      <c r="T987" s="18">
        <v>0.1</v>
      </c>
      <c r="U987">
        <f t="shared" si="63"/>
        <v>1821.7760000000001</v>
      </c>
    </row>
    <row r="988" spans="1:21" x14ac:dyDescent="0.3">
      <c r="A988" t="s">
        <v>2018</v>
      </c>
      <c r="B988" s="1">
        <v>44690</v>
      </c>
      <c r="C988" t="s">
        <v>2019</v>
      </c>
      <c r="D988" s="3" t="s">
        <v>76</v>
      </c>
      <c r="E988" s="2">
        <v>29380</v>
      </c>
      <c r="F988" s="2">
        <v>20.2</v>
      </c>
      <c r="G988" s="4">
        <v>60</v>
      </c>
      <c r="H988" t="s">
        <v>19</v>
      </c>
      <c r="I988" t="s">
        <v>73</v>
      </c>
      <c r="J988" t="s">
        <v>47</v>
      </c>
      <c r="K988" s="2">
        <v>104960</v>
      </c>
      <c r="L988" t="s">
        <v>22</v>
      </c>
      <c r="M988" s="2">
        <v>0.18</v>
      </c>
      <c r="N988" s="2">
        <v>0.52</v>
      </c>
      <c r="O988" s="2">
        <v>35314.76</v>
      </c>
      <c r="P988" s="2">
        <v>0</v>
      </c>
      <c r="Q988">
        <f t="shared" si="60"/>
        <v>56500</v>
      </c>
      <c r="R988">
        <f t="shared" ca="1" si="61"/>
        <v>46</v>
      </c>
      <c r="S988" s="2">
        <f t="shared" si="62"/>
        <v>5934.760000000002</v>
      </c>
      <c r="T988" s="18">
        <v>0.1</v>
      </c>
      <c r="U988">
        <f t="shared" si="63"/>
        <v>6528.2360000000026</v>
      </c>
    </row>
    <row r="989" spans="1:21" x14ac:dyDescent="0.3">
      <c r="A989" t="s">
        <v>2020</v>
      </c>
      <c r="B989" s="1">
        <v>44200</v>
      </c>
      <c r="C989" t="s">
        <v>2021</v>
      </c>
      <c r="D989" s="3" t="s">
        <v>46</v>
      </c>
      <c r="E989" s="2">
        <v>27035</v>
      </c>
      <c r="F989" s="2">
        <v>12.1</v>
      </c>
      <c r="G989" s="4">
        <v>36</v>
      </c>
      <c r="H989" t="s">
        <v>26</v>
      </c>
      <c r="I989" t="s">
        <v>27</v>
      </c>
      <c r="J989" t="s">
        <v>37</v>
      </c>
      <c r="K989" s="2">
        <v>132421</v>
      </c>
      <c r="L989" t="s">
        <v>22</v>
      </c>
      <c r="M989" s="2">
        <v>0.15</v>
      </c>
      <c r="N989" s="2">
        <v>0.51</v>
      </c>
      <c r="O989" s="2">
        <v>5329.68</v>
      </c>
      <c r="P989" s="2">
        <v>0</v>
      </c>
      <c r="Q989">
        <f t="shared" si="60"/>
        <v>53009.803921568629</v>
      </c>
      <c r="R989">
        <f t="shared" ca="1" si="61"/>
        <v>62</v>
      </c>
      <c r="S989" s="2">
        <f t="shared" si="62"/>
        <v>-21705.32</v>
      </c>
      <c r="T989" s="18">
        <v>0.1</v>
      </c>
      <c r="U989">
        <f t="shared" si="63"/>
        <v>-23875.852000000003</v>
      </c>
    </row>
    <row r="990" spans="1:21" x14ac:dyDescent="0.3">
      <c r="A990" t="s">
        <v>2022</v>
      </c>
      <c r="B990" s="1">
        <v>44862</v>
      </c>
      <c r="C990" t="s">
        <v>2023</v>
      </c>
      <c r="D990" s="3" t="s">
        <v>46</v>
      </c>
      <c r="E990" s="2">
        <v>31620</v>
      </c>
      <c r="F990" s="2">
        <v>24</v>
      </c>
      <c r="G990" s="4">
        <v>36</v>
      </c>
      <c r="H990" t="s">
        <v>19</v>
      </c>
      <c r="I990" t="s">
        <v>84</v>
      </c>
      <c r="J990" t="s">
        <v>21</v>
      </c>
      <c r="K990" s="2">
        <v>137173</v>
      </c>
      <c r="L990" t="s">
        <v>22</v>
      </c>
      <c r="M990" s="2">
        <v>0.43</v>
      </c>
      <c r="N990" s="2">
        <v>0.56000000000000005</v>
      </c>
      <c r="O990" s="2">
        <v>39208.800000000003</v>
      </c>
      <c r="P990" s="2">
        <v>0</v>
      </c>
      <c r="Q990">
        <f t="shared" si="60"/>
        <v>56464.28571428571</v>
      </c>
      <c r="R990">
        <f t="shared" ca="1" si="61"/>
        <v>40</v>
      </c>
      <c r="S990" s="2">
        <f t="shared" si="62"/>
        <v>7588.8000000000029</v>
      </c>
      <c r="T990" s="18">
        <v>0.1</v>
      </c>
      <c r="U990">
        <f t="shared" si="63"/>
        <v>8347.6800000000039</v>
      </c>
    </row>
    <row r="991" spans="1:21" x14ac:dyDescent="0.3">
      <c r="A991" t="s">
        <v>2024</v>
      </c>
      <c r="B991" s="1">
        <v>44638</v>
      </c>
      <c r="C991" t="s">
        <v>2025</v>
      </c>
      <c r="D991" s="3" t="s">
        <v>25</v>
      </c>
      <c r="E991" s="2">
        <v>20877</v>
      </c>
      <c r="F991" s="2">
        <v>24.2</v>
      </c>
      <c r="G991" s="4">
        <v>36</v>
      </c>
      <c r="H991" t="s">
        <v>81</v>
      </c>
      <c r="I991" t="s">
        <v>84</v>
      </c>
      <c r="J991" t="s">
        <v>32</v>
      </c>
      <c r="K991" s="2">
        <v>73618</v>
      </c>
      <c r="L991" t="s">
        <v>33</v>
      </c>
      <c r="M991" s="2">
        <v>0.3</v>
      </c>
      <c r="N991" s="2">
        <v>0.8</v>
      </c>
      <c r="O991" s="2">
        <v>4859.07</v>
      </c>
      <c r="P991" s="2">
        <v>9308.75</v>
      </c>
      <c r="Q991">
        <f t="shared" si="60"/>
        <v>26096.25</v>
      </c>
      <c r="R991">
        <f t="shared" ca="1" si="61"/>
        <v>48</v>
      </c>
      <c r="S991" s="2">
        <f t="shared" si="62"/>
        <v>-6709.18</v>
      </c>
      <c r="T991" s="18">
        <v>0.1</v>
      </c>
      <c r="U991">
        <f t="shared" si="63"/>
        <v>-7380.0980000000009</v>
      </c>
    </row>
    <row r="992" spans="1:21" x14ac:dyDescent="0.3">
      <c r="A992" t="s">
        <v>2026</v>
      </c>
      <c r="B992" s="1">
        <v>44225</v>
      </c>
      <c r="C992" t="s">
        <v>2027</v>
      </c>
      <c r="D992" s="3" t="s">
        <v>72</v>
      </c>
      <c r="E992" s="2">
        <v>31911</v>
      </c>
      <c r="F992" s="2">
        <v>17.399999999999999</v>
      </c>
      <c r="G992" s="4">
        <v>60</v>
      </c>
      <c r="H992" t="s">
        <v>26</v>
      </c>
      <c r="I992" t="s">
        <v>73</v>
      </c>
      <c r="J992" t="s">
        <v>37</v>
      </c>
      <c r="K992" s="2">
        <v>113948</v>
      </c>
      <c r="L992" t="s">
        <v>29</v>
      </c>
      <c r="M992" s="2">
        <v>0.11</v>
      </c>
      <c r="N992" s="2">
        <v>0.83</v>
      </c>
      <c r="O992" s="2">
        <v>10885.67</v>
      </c>
      <c r="P992" s="2">
        <v>0</v>
      </c>
      <c r="Q992">
        <f t="shared" si="60"/>
        <v>38446.987951807234</v>
      </c>
      <c r="R992">
        <f t="shared" ca="1" si="61"/>
        <v>61</v>
      </c>
      <c r="S992" s="2">
        <f t="shared" si="62"/>
        <v>-21025.33</v>
      </c>
      <c r="T992" s="18">
        <v>0.1</v>
      </c>
      <c r="U992">
        <f t="shared" si="63"/>
        <v>-23127.863000000005</v>
      </c>
    </row>
    <row r="993" spans="1:21" x14ac:dyDescent="0.3">
      <c r="A993" t="s">
        <v>2028</v>
      </c>
      <c r="B993" s="1">
        <v>44806</v>
      </c>
      <c r="C993" t="s">
        <v>2029</v>
      </c>
      <c r="D993" s="3" t="s">
        <v>53</v>
      </c>
      <c r="E993" s="2">
        <v>33784</v>
      </c>
      <c r="F993" s="2">
        <v>23.6</v>
      </c>
      <c r="G993" s="4">
        <v>60</v>
      </c>
      <c r="H993" t="s">
        <v>26</v>
      </c>
      <c r="I993" t="s">
        <v>27</v>
      </c>
      <c r="J993" t="s">
        <v>21</v>
      </c>
      <c r="K993" s="2">
        <v>92671</v>
      </c>
      <c r="L993" t="s">
        <v>33</v>
      </c>
      <c r="M993" s="2">
        <v>0.42</v>
      </c>
      <c r="N993" s="2">
        <v>0.85</v>
      </c>
      <c r="O993" s="2">
        <v>9201.2900000000009</v>
      </c>
      <c r="P993" s="2">
        <v>0</v>
      </c>
      <c r="Q993">
        <f t="shared" si="60"/>
        <v>39745.882352941175</v>
      </c>
      <c r="R993">
        <f t="shared" ca="1" si="61"/>
        <v>42</v>
      </c>
      <c r="S993" s="2">
        <f t="shared" si="62"/>
        <v>-24582.71</v>
      </c>
      <c r="T993" s="18">
        <v>0.1</v>
      </c>
      <c r="U993">
        <f t="shared" si="63"/>
        <v>-27040.981</v>
      </c>
    </row>
    <row r="994" spans="1:21" x14ac:dyDescent="0.3">
      <c r="A994" t="s">
        <v>2030</v>
      </c>
      <c r="B994" s="1">
        <v>45001</v>
      </c>
      <c r="C994" t="s">
        <v>2031</v>
      </c>
      <c r="D994" s="3" t="s">
        <v>18</v>
      </c>
      <c r="E994" s="2">
        <v>4191</v>
      </c>
      <c r="F994" s="2">
        <v>20.2</v>
      </c>
      <c r="G994" s="4">
        <v>36</v>
      </c>
      <c r="H994" t="s">
        <v>26</v>
      </c>
      <c r="I994" t="s">
        <v>20</v>
      </c>
      <c r="J994" t="s">
        <v>28</v>
      </c>
      <c r="K994" s="2">
        <v>77111</v>
      </c>
      <c r="L994" t="s">
        <v>22</v>
      </c>
      <c r="M994" s="2">
        <v>0.49</v>
      </c>
      <c r="N994" s="2">
        <v>0.61</v>
      </c>
      <c r="O994" s="2">
        <v>1379.36</v>
      </c>
      <c r="P994" s="2">
        <v>0</v>
      </c>
      <c r="Q994">
        <f t="shared" si="60"/>
        <v>6870.4918032786891</v>
      </c>
      <c r="R994">
        <f t="shared" ca="1" si="61"/>
        <v>36</v>
      </c>
      <c r="S994" s="2">
        <f t="shared" si="62"/>
        <v>-2811.6400000000003</v>
      </c>
      <c r="T994" s="18">
        <v>0.1</v>
      </c>
      <c r="U994">
        <f t="shared" si="63"/>
        <v>-3092.8040000000005</v>
      </c>
    </row>
    <row r="995" spans="1:21" x14ac:dyDescent="0.3">
      <c r="A995" t="s">
        <v>2032</v>
      </c>
      <c r="B995" s="1">
        <v>44271</v>
      </c>
      <c r="C995" t="s">
        <v>2033</v>
      </c>
      <c r="D995" s="3" t="s">
        <v>18</v>
      </c>
      <c r="E995" s="2">
        <v>34160</v>
      </c>
      <c r="F995" s="2">
        <v>15.9</v>
      </c>
      <c r="G995" s="4">
        <v>36</v>
      </c>
      <c r="H995" t="s">
        <v>81</v>
      </c>
      <c r="I995" t="s">
        <v>73</v>
      </c>
      <c r="J995" t="s">
        <v>21</v>
      </c>
      <c r="K995" s="2">
        <v>69613</v>
      </c>
      <c r="L995" t="s">
        <v>29</v>
      </c>
      <c r="M995" s="2">
        <v>0.34</v>
      </c>
      <c r="N995" s="2">
        <v>0.64</v>
      </c>
      <c r="O995" s="2">
        <v>8992.9599999999991</v>
      </c>
      <c r="P995" s="2">
        <v>10741.33</v>
      </c>
      <c r="Q995">
        <f t="shared" si="60"/>
        <v>53375</v>
      </c>
      <c r="R995">
        <f t="shared" ca="1" si="61"/>
        <v>60</v>
      </c>
      <c r="S995" s="2">
        <f t="shared" si="62"/>
        <v>-14425.71</v>
      </c>
      <c r="T995" s="18">
        <v>0.1</v>
      </c>
      <c r="U995">
        <f t="shared" si="63"/>
        <v>-15868.281000000001</v>
      </c>
    </row>
    <row r="996" spans="1:21" x14ac:dyDescent="0.3">
      <c r="A996" t="s">
        <v>2034</v>
      </c>
      <c r="B996" s="1">
        <v>45034</v>
      </c>
      <c r="C996" t="s">
        <v>2035</v>
      </c>
      <c r="D996" s="3" t="s">
        <v>46</v>
      </c>
      <c r="E996" s="2">
        <v>26000</v>
      </c>
      <c r="F996" s="2">
        <v>8.6</v>
      </c>
      <c r="G996" s="4">
        <v>60</v>
      </c>
      <c r="H996" t="s">
        <v>26</v>
      </c>
      <c r="I996" t="s">
        <v>20</v>
      </c>
      <c r="J996" t="s">
        <v>28</v>
      </c>
      <c r="K996" s="2">
        <v>115678</v>
      </c>
      <c r="L996" t="s">
        <v>22</v>
      </c>
      <c r="M996" s="2">
        <v>0.3</v>
      </c>
      <c r="N996" s="2">
        <v>0.72</v>
      </c>
      <c r="O996" s="2">
        <v>9955.6200000000008</v>
      </c>
      <c r="P996" s="2">
        <v>0</v>
      </c>
      <c r="Q996">
        <f t="shared" si="60"/>
        <v>36111.111111111109</v>
      </c>
      <c r="R996">
        <f t="shared" ca="1" si="61"/>
        <v>35</v>
      </c>
      <c r="S996" s="2">
        <f t="shared" si="62"/>
        <v>-16044.38</v>
      </c>
      <c r="T996" s="18">
        <v>0.1</v>
      </c>
      <c r="U996">
        <f t="shared" si="63"/>
        <v>-17648.817999999999</v>
      </c>
    </row>
    <row r="997" spans="1:21" x14ac:dyDescent="0.3">
      <c r="A997" t="s">
        <v>2036</v>
      </c>
      <c r="B997" s="1">
        <v>44324</v>
      </c>
      <c r="C997" t="s">
        <v>2037</v>
      </c>
      <c r="D997" s="3" t="s">
        <v>50</v>
      </c>
      <c r="E997" s="2">
        <v>4631</v>
      </c>
      <c r="F997" s="2">
        <v>14.2</v>
      </c>
      <c r="G997" s="4">
        <v>36</v>
      </c>
      <c r="H997" t="s">
        <v>26</v>
      </c>
      <c r="I997" t="s">
        <v>57</v>
      </c>
      <c r="J997" t="s">
        <v>37</v>
      </c>
      <c r="K997" s="2">
        <v>132928</v>
      </c>
      <c r="L997" t="s">
        <v>33</v>
      </c>
      <c r="M997" s="2">
        <v>0.45</v>
      </c>
      <c r="N997" s="2">
        <v>0.53</v>
      </c>
      <c r="O997" s="2">
        <v>1702.69</v>
      </c>
      <c r="P997" s="2">
        <v>0</v>
      </c>
      <c r="Q997">
        <f t="shared" si="60"/>
        <v>8737.7358490566039</v>
      </c>
      <c r="R997">
        <f t="shared" ca="1" si="61"/>
        <v>58</v>
      </c>
      <c r="S997" s="2">
        <f t="shared" si="62"/>
        <v>-2928.31</v>
      </c>
      <c r="T997" s="18">
        <v>0.1</v>
      </c>
      <c r="U997">
        <f t="shared" si="63"/>
        <v>-3221.1410000000001</v>
      </c>
    </row>
    <row r="998" spans="1:21" x14ac:dyDescent="0.3">
      <c r="A998" t="s">
        <v>2038</v>
      </c>
      <c r="B998" s="1">
        <v>44238</v>
      </c>
      <c r="C998" t="s">
        <v>2039</v>
      </c>
      <c r="D998" s="3" t="s">
        <v>56</v>
      </c>
      <c r="E998" s="2">
        <v>7172</v>
      </c>
      <c r="F998" s="2">
        <v>16.2</v>
      </c>
      <c r="G998" s="4">
        <v>60</v>
      </c>
      <c r="H998" t="s">
        <v>19</v>
      </c>
      <c r="I998" t="s">
        <v>57</v>
      </c>
      <c r="J998" t="s">
        <v>28</v>
      </c>
      <c r="K998" s="2">
        <v>89993</v>
      </c>
      <c r="L998" t="s">
        <v>33</v>
      </c>
      <c r="M998" s="2">
        <v>0.48</v>
      </c>
      <c r="N998" s="2">
        <v>0.78</v>
      </c>
      <c r="O998" s="2">
        <v>8333.86</v>
      </c>
      <c r="P998" s="2">
        <v>0</v>
      </c>
      <c r="Q998">
        <f t="shared" si="60"/>
        <v>9194.8717948717949</v>
      </c>
      <c r="R998">
        <f t="shared" ca="1" si="61"/>
        <v>61</v>
      </c>
      <c r="S998" s="2">
        <f t="shared" si="62"/>
        <v>1161.8600000000006</v>
      </c>
      <c r="T998" s="18">
        <v>0.1</v>
      </c>
      <c r="U998">
        <f t="shared" si="63"/>
        <v>1278.0460000000007</v>
      </c>
    </row>
    <row r="999" spans="1:21" x14ac:dyDescent="0.3">
      <c r="A999" t="s">
        <v>2040</v>
      </c>
      <c r="B999" s="1">
        <v>44237</v>
      </c>
      <c r="C999" t="s">
        <v>2041</v>
      </c>
      <c r="D999" s="3" t="s">
        <v>25</v>
      </c>
      <c r="E999" s="2">
        <v>24561</v>
      </c>
      <c r="F999" s="2">
        <v>22.3</v>
      </c>
      <c r="G999" s="4">
        <v>36</v>
      </c>
      <c r="H999" t="s">
        <v>81</v>
      </c>
      <c r="I999" t="s">
        <v>57</v>
      </c>
      <c r="J999" t="s">
        <v>21</v>
      </c>
      <c r="K999" s="2">
        <v>38848</v>
      </c>
      <c r="L999" t="s">
        <v>33</v>
      </c>
      <c r="M999" s="2">
        <v>0.4</v>
      </c>
      <c r="N999" s="2">
        <v>0.94</v>
      </c>
      <c r="O999" s="2">
        <v>6392.17</v>
      </c>
      <c r="P999" s="2">
        <v>9431.07</v>
      </c>
      <c r="Q999">
        <f t="shared" si="60"/>
        <v>26128.723404255321</v>
      </c>
      <c r="R999">
        <f t="shared" ca="1" si="61"/>
        <v>61</v>
      </c>
      <c r="S999" s="2">
        <f t="shared" si="62"/>
        <v>-8737.76</v>
      </c>
      <c r="T999" s="18">
        <v>0.1</v>
      </c>
      <c r="U999">
        <f t="shared" si="63"/>
        <v>-9611.5360000000019</v>
      </c>
    </row>
    <row r="1000" spans="1:21" x14ac:dyDescent="0.3">
      <c r="A1000" t="s">
        <v>2042</v>
      </c>
      <c r="B1000" s="1">
        <v>45130</v>
      </c>
      <c r="C1000" t="s">
        <v>2043</v>
      </c>
      <c r="D1000" s="3" t="s">
        <v>65</v>
      </c>
      <c r="E1000" s="2">
        <v>25817</v>
      </c>
      <c r="F1000" s="2">
        <v>14.6</v>
      </c>
      <c r="G1000" s="4">
        <v>36</v>
      </c>
      <c r="H1000" t="s">
        <v>26</v>
      </c>
      <c r="I1000" t="s">
        <v>73</v>
      </c>
      <c r="J1000" t="s">
        <v>32</v>
      </c>
      <c r="K1000" s="2">
        <v>144853</v>
      </c>
      <c r="L1000" t="s">
        <v>29</v>
      </c>
      <c r="M1000" s="2">
        <v>0.28000000000000003</v>
      </c>
      <c r="N1000" s="2">
        <v>0.66</v>
      </c>
      <c r="O1000" s="2">
        <v>9178.11</v>
      </c>
      <c r="P1000" s="2">
        <v>0</v>
      </c>
      <c r="Q1000">
        <f t="shared" si="60"/>
        <v>39116.666666666664</v>
      </c>
      <c r="R1000">
        <f t="shared" ca="1" si="61"/>
        <v>31</v>
      </c>
      <c r="S1000" s="2">
        <f t="shared" si="62"/>
        <v>-16638.89</v>
      </c>
      <c r="T1000" s="18">
        <v>0.1</v>
      </c>
      <c r="U1000">
        <f t="shared" si="63"/>
        <v>-18302.779000000002</v>
      </c>
    </row>
    <row r="1001" spans="1:21" x14ac:dyDescent="0.3">
      <c r="A1001" t="s">
        <v>2044</v>
      </c>
      <c r="B1001" s="1">
        <v>44230</v>
      </c>
      <c r="C1001" t="s">
        <v>2045</v>
      </c>
      <c r="D1001" s="3" t="s">
        <v>25</v>
      </c>
      <c r="E1001" s="2">
        <v>21281</v>
      </c>
      <c r="F1001" s="2">
        <v>23</v>
      </c>
      <c r="G1001" s="4">
        <v>60</v>
      </c>
      <c r="H1001" t="s">
        <v>19</v>
      </c>
      <c r="I1001" t="s">
        <v>36</v>
      </c>
      <c r="J1001" t="s">
        <v>47</v>
      </c>
      <c r="K1001" s="2">
        <v>108672</v>
      </c>
      <c r="L1001" t="s">
        <v>29</v>
      </c>
      <c r="M1001" s="2">
        <v>0.34</v>
      </c>
      <c r="N1001" s="2">
        <v>0.84</v>
      </c>
      <c r="O1001" s="2">
        <v>26175.63</v>
      </c>
      <c r="P1001" s="2">
        <v>0</v>
      </c>
      <c r="Q1001">
        <f t="shared" si="60"/>
        <v>25334.523809523809</v>
      </c>
      <c r="R1001">
        <f t="shared" ca="1" si="61"/>
        <v>61</v>
      </c>
      <c r="S1001" s="2">
        <f t="shared" si="62"/>
        <v>4894.630000000001</v>
      </c>
      <c r="T1001" s="18">
        <v>0.1</v>
      </c>
      <c r="U1001">
        <f t="shared" si="63"/>
        <v>5384.0930000000017</v>
      </c>
    </row>
    <row r="1002" spans="1:21" x14ac:dyDescent="0.3">
      <c r="S1002" s="2">
        <f>SUM(S2:S1001)</f>
        <v>-4902908.2899999982</v>
      </c>
    </row>
  </sheetData>
  <scenarios current="0" show="0">
    <scenario name="Optimistic" locked="1" count="1" user="pilla" comment="Created by pilla on 19-03-2026_x000a_Modified by pilla on 19-03-2026">
      <inputCells r="T3" val="-30000" numFmtId="9"/>
    </scenario>
  </scenarios>
  <autoFilter ref="A1:P1" xr:uid="{A52F3558-7969-479A-BCC7-100C91A64AC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D798-19D1-4673-A9F7-BFE0C5385990}">
  <dimension ref="A1:A9"/>
  <sheetViews>
    <sheetView workbookViewId="0">
      <selection activeCell="A10" sqref="A10"/>
    </sheetView>
  </sheetViews>
  <sheetFormatPr defaultRowHeight="14.4" x14ac:dyDescent="0.3"/>
  <sheetData>
    <row r="1" spans="1:1" x14ac:dyDescent="0.3">
      <c r="A1" t="s">
        <v>2046</v>
      </c>
    </row>
    <row r="2" spans="1:1" x14ac:dyDescent="0.3">
      <c r="A2" t="s">
        <v>2047</v>
      </c>
    </row>
    <row r="3" spans="1:1" x14ac:dyDescent="0.3">
      <c r="A3" t="s">
        <v>2048</v>
      </c>
    </row>
    <row r="4" spans="1:1" x14ac:dyDescent="0.3">
      <c r="A4" t="s">
        <v>2049</v>
      </c>
    </row>
    <row r="6" spans="1:1" x14ac:dyDescent="0.3">
      <c r="A6" t="s">
        <v>2053</v>
      </c>
    </row>
    <row r="8" spans="1:1" x14ac:dyDescent="0.3">
      <c r="A8" t="s">
        <v>2054</v>
      </c>
    </row>
    <row r="9" spans="1:1" x14ac:dyDescent="0.3">
      <c r="A9" t="s">
        <v>2055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Visualizations</vt:lpstr>
      <vt:lpstr>Sheet4</vt:lpstr>
      <vt:lpstr>day4 excel</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Pillari</dc:creator>
  <cp:lastModifiedBy>Lavanya Pillari</cp:lastModifiedBy>
  <dcterms:created xsi:type="dcterms:W3CDTF">2026-03-19T15:20:27Z</dcterms:created>
  <dcterms:modified xsi:type="dcterms:W3CDTF">2026-03-19T18:02:47Z</dcterms:modified>
</cp:coreProperties>
</file>